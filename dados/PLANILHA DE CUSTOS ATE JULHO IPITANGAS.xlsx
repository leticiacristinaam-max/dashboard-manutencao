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Meu Drive\OBRA SAQUAREMA - C.C. 113 -  IPITANGAS - DRENAGEM E PAVIMENTAÇÃO\1.12 GESTÃO DE CUSTOS\PREVISÃO CUSTO OBRA\"/>
    </mc:Choice>
  </mc:AlternateContent>
  <xr:revisionPtr revIDLastSave="0" documentId="8_{9CA40099-E73A-4F7B-AE37-AAD34EB769FF}" xr6:coauthVersionLast="47" xr6:coauthVersionMax="47" xr10:uidLastSave="{00000000-0000-0000-0000-000000000000}"/>
  <bookViews>
    <workbookView xWindow="-108" yWindow="-108" windowWidth="23256" windowHeight="12456" xr2:uid="{51700B3B-DC6A-48DB-B3F4-3CBE80C07E72}"/>
  </bookViews>
  <sheets>
    <sheet name="CUSTO" sheetId="1" r:id="rId1"/>
  </sheets>
  <externalReferences>
    <externalReference r:id="rId2"/>
  </externalReferences>
  <definedNames>
    <definedName name="\0">#REF!</definedName>
    <definedName name="\1">#REF!</definedName>
    <definedName name="\a">#REF!</definedName>
    <definedName name="_______la29" hidden="1">#REF!</definedName>
    <definedName name="_______la3" hidden="1">#REF!</definedName>
    <definedName name="_______la31" hidden="1">#REF!</definedName>
    <definedName name="_______la32" hidden="1">#REF!</definedName>
    <definedName name="_______la4" hidden="1">#REF!</definedName>
    <definedName name="_______la5" hidden="1">#REF!</definedName>
    <definedName name="_______la6" hidden="1">#REF!</definedName>
    <definedName name="_______la7" hidden="1">#REF!</definedName>
    <definedName name="_______la8" hidden="1">#REF!</definedName>
    <definedName name="_______la9" hidden="1">#REF!</definedName>
    <definedName name="_______lb1" hidden="1">#REF!</definedName>
    <definedName name="_______lb10" hidden="1">#REF!</definedName>
    <definedName name="_______lb11" hidden="1">#REF!</definedName>
    <definedName name="_______lb12" hidden="1">#REF!</definedName>
    <definedName name="_______lb13" hidden="1">#REF!</definedName>
    <definedName name="_______lb14" hidden="1">#REF!</definedName>
    <definedName name="_______lb15" hidden="1">#REF!</definedName>
    <definedName name="_______lb16" hidden="1">#REF!</definedName>
    <definedName name="_______lb17" hidden="1">#REF!</definedName>
    <definedName name="_______lb18" hidden="1">#REF!</definedName>
    <definedName name="_______lb19" hidden="1">#REF!</definedName>
    <definedName name="_______lb2" hidden="1">#REF!</definedName>
    <definedName name="_______lb20" hidden="1">#REF!</definedName>
    <definedName name="_______lb21" hidden="1">#REF!</definedName>
    <definedName name="_______lb22" hidden="1">#REF!</definedName>
    <definedName name="_______lb23" hidden="1">#REF!</definedName>
    <definedName name="_______lb24" hidden="1">#REF!</definedName>
    <definedName name="_______lb25" hidden="1">#REF!</definedName>
    <definedName name="_______lb27" hidden="1">#REF!</definedName>
    <definedName name="_______lb28" hidden="1">#REF!</definedName>
    <definedName name="_______lb29" hidden="1">#REF!</definedName>
    <definedName name="_______lb3" hidden="1">#REF!</definedName>
    <definedName name="_______lb30" hidden="1">#REF!</definedName>
    <definedName name="_______lb31" hidden="1">#REF!</definedName>
    <definedName name="_______lb32" hidden="1">#REF!</definedName>
    <definedName name="_______lb4" hidden="1">#REF!</definedName>
    <definedName name="_______lb5" hidden="1">#REF!</definedName>
    <definedName name="_______lb6" hidden="1">#REF!</definedName>
    <definedName name="_______lb7" hidden="1">#REF!</definedName>
    <definedName name="_______lb8" hidden="1">#REF!</definedName>
    <definedName name="_______lb9" hidden="1">#REF!</definedName>
    <definedName name="_______lbc1" hidden="1">#REF!</definedName>
    <definedName name="_______lbc10" hidden="1">#REF!</definedName>
    <definedName name="_______lbc11" hidden="1">#REF!</definedName>
    <definedName name="_______lbc12" hidden="1">#REF!</definedName>
    <definedName name="_______lbc13" hidden="1">#REF!</definedName>
    <definedName name="_______lbc14" hidden="1">#REF!</definedName>
    <definedName name="_______lbc15" hidden="1">#REF!</definedName>
    <definedName name="_______lbc16" hidden="1">#REF!</definedName>
    <definedName name="_______lbc17" hidden="1">#REF!</definedName>
    <definedName name="_______lbc18" hidden="1">#REF!</definedName>
    <definedName name="_______lbc19" hidden="1">#REF!</definedName>
    <definedName name="_______lbc2" hidden="1">#REF!</definedName>
    <definedName name="_______lbc20" hidden="1">#REF!</definedName>
    <definedName name="_______lbc21" hidden="1">#REF!</definedName>
    <definedName name="_______lbc22" hidden="1">#REF!</definedName>
    <definedName name="_______lbc23" hidden="1">#REF!</definedName>
    <definedName name="_______lbc24" hidden="1">#REF!</definedName>
    <definedName name="_______lbc25" hidden="1">#REF!</definedName>
    <definedName name="_______lbc26" hidden="1">#REF!</definedName>
    <definedName name="_______lbc27" hidden="1">#REF!</definedName>
    <definedName name="_______lbc28" hidden="1">#REF!</definedName>
    <definedName name="_______lbc29" hidden="1">#REF!</definedName>
    <definedName name="_______lbc3" hidden="1">#REF!</definedName>
    <definedName name="_______lbc31" hidden="1">#REF!</definedName>
    <definedName name="_______lbc32" hidden="1">#REF!</definedName>
    <definedName name="_______lbc4" hidden="1">#REF!</definedName>
    <definedName name="_______lbc5" hidden="1">#REF!</definedName>
    <definedName name="_______lbc6" hidden="1">#REF!</definedName>
    <definedName name="_______lbc7" hidden="1">#REF!</definedName>
    <definedName name="_______lbc8" hidden="1">#REF!</definedName>
    <definedName name="_______lbc9" hidden="1">#REF!</definedName>
    <definedName name="_______ld26" hidden="1">#REF!</definedName>
    <definedName name="_______ld31" hidden="1">#REF!</definedName>
    <definedName name="_______le31" hidden="1">#REF!</definedName>
    <definedName name="_______lf31" hidden="1">#REF!</definedName>
    <definedName name="_______x10" hidden="1">#REF!</definedName>
    <definedName name="_______x11" hidden="1">#REF!</definedName>
    <definedName name="_______x12" hidden="1">#REF!</definedName>
    <definedName name="_______x13" hidden="1">#REF!</definedName>
    <definedName name="_______x14" hidden="1">#REF!</definedName>
    <definedName name="_______x15" hidden="1">#REF!</definedName>
    <definedName name="_______x16" hidden="1">#REF!</definedName>
    <definedName name="_______x17" hidden="1">#REF!</definedName>
    <definedName name="_______x18" hidden="1">#REF!</definedName>
    <definedName name="_______x19" hidden="1">#REF!</definedName>
    <definedName name="_______x20" hidden="1">#REF!</definedName>
    <definedName name="_______x21" hidden="1">#REF!</definedName>
    <definedName name="_______x22" hidden="1">#REF!</definedName>
    <definedName name="_______x23" hidden="1">#REF!</definedName>
    <definedName name="_______x24" hidden="1">#REF!</definedName>
    <definedName name="_______x25" hidden="1">#REF!</definedName>
    <definedName name="_______x28" hidden="1">#REF!</definedName>
    <definedName name="_______x29" hidden="1">#REF!</definedName>
    <definedName name="_______x32" hidden="1">#REF!</definedName>
    <definedName name="_______x4" hidden="1">#REF!</definedName>
    <definedName name="_______x5" hidden="1">#REF!</definedName>
    <definedName name="_______x6" hidden="1">#REF!</definedName>
    <definedName name="_______x7" hidden="1">#REF!</definedName>
    <definedName name="_______x8" hidden="1">#REF!</definedName>
    <definedName name="_______x9" hidden="1">#REF!</definedName>
    <definedName name="______la29" hidden="1">#REF!</definedName>
    <definedName name="______la3" hidden="1">#REF!</definedName>
    <definedName name="______la31" hidden="1">#REF!</definedName>
    <definedName name="______la32" hidden="1">#REF!</definedName>
    <definedName name="______la4" hidden="1">#REF!</definedName>
    <definedName name="______la5" hidden="1">#REF!</definedName>
    <definedName name="______la6" hidden="1">#REF!</definedName>
    <definedName name="______la7" hidden="1">#REF!</definedName>
    <definedName name="______la8" hidden="1">#REF!</definedName>
    <definedName name="______la9" hidden="1">#REF!</definedName>
    <definedName name="______lb1" hidden="1">#REF!</definedName>
    <definedName name="______lb10" hidden="1">#REF!</definedName>
    <definedName name="______lb11" hidden="1">#REF!</definedName>
    <definedName name="______lb12" hidden="1">#REF!</definedName>
    <definedName name="______lb13" hidden="1">#REF!</definedName>
    <definedName name="______lb14" hidden="1">#REF!</definedName>
    <definedName name="______lb15" hidden="1">#REF!</definedName>
    <definedName name="______lb16" hidden="1">#REF!</definedName>
    <definedName name="______lb17" hidden="1">#REF!</definedName>
    <definedName name="______lb18" hidden="1">#REF!</definedName>
    <definedName name="______lb19" hidden="1">#REF!</definedName>
    <definedName name="______lb2" hidden="1">#REF!</definedName>
    <definedName name="______lb20" hidden="1">#REF!</definedName>
    <definedName name="______lb21" hidden="1">#REF!</definedName>
    <definedName name="______lb22" hidden="1">#REF!</definedName>
    <definedName name="______lb23" hidden="1">#REF!</definedName>
    <definedName name="______lb24" hidden="1">#REF!</definedName>
    <definedName name="______lb25" hidden="1">#REF!</definedName>
    <definedName name="______lb27" hidden="1">#REF!</definedName>
    <definedName name="______lb28" hidden="1">#REF!</definedName>
    <definedName name="______lb29" hidden="1">#REF!</definedName>
    <definedName name="______lb3" hidden="1">#REF!</definedName>
    <definedName name="______lb30" hidden="1">#REF!</definedName>
    <definedName name="______lb31" hidden="1">#REF!</definedName>
    <definedName name="______lb32" hidden="1">#REF!</definedName>
    <definedName name="______lb4" hidden="1">#REF!</definedName>
    <definedName name="______lb5" hidden="1">#REF!</definedName>
    <definedName name="______lb6" hidden="1">#REF!</definedName>
    <definedName name="______lb7" hidden="1">#REF!</definedName>
    <definedName name="______lb8" hidden="1">#REF!</definedName>
    <definedName name="______lb9" hidden="1">#REF!</definedName>
    <definedName name="______lbc1" hidden="1">#REF!</definedName>
    <definedName name="______lbc10" hidden="1">#REF!</definedName>
    <definedName name="______lbc11" hidden="1">#REF!</definedName>
    <definedName name="______lbc12" hidden="1">#REF!</definedName>
    <definedName name="______lbc13" hidden="1">#REF!</definedName>
    <definedName name="______lbc14" hidden="1">#REF!</definedName>
    <definedName name="______lbc15" hidden="1">#REF!</definedName>
    <definedName name="______lbc16" hidden="1">#REF!</definedName>
    <definedName name="______lbc17" hidden="1">#REF!</definedName>
    <definedName name="______lbc18" hidden="1">#REF!</definedName>
    <definedName name="______lbc19" hidden="1">#REF!</definedName>
    <definedName name="______lbc2" hidden="1">#REF!</definedName>
    <definedName name="______lbc20" hidden="1">#REF!</definedName>
    <definedName name="______lbc21" hidden="1">#REF!</definedName>
    <definedName name="______lbc22" hidden="1">#REF!</definedName>
    <definedName name="______lbc23" hidden="1">#REF!</definedName>
    <definedName name="______lbc24" hidden="1">#REF!</definedName>
    <definedName name="______lbc25" hidden="1">#REF!</definedName>
    <definedName name="______lbc26" hidden="1">#REF!</definedName>
    <definedName name="______lbc27" hidden="1">#REF!</definedName>
    <definedName name="______lbc28" hidden="1">#REF!</definedName>
    <definedName name="______lbc29" hidden="1">#REF!</definedName>
    <definedName name="______lbc3" hidden="1">#REF!</definedName>
    <definedName name="______lbc31" hidden="1">#REF!</definedName>
    <definedName name="______lbc32" hidden="1">#REF!</definedName>
    <definedName name="______lbc4" hidden="1">#REF!</definedName>
    <definedName name="______lbc5" hidden="1">#REF!</definedName>
    <definedName name="______lbc6" hidden="1">#REF!</definedName>
    <definedName name="______lbc7" hidden="1">#REF!</definedName>
    <definedName name="______lbc8" hidden="1">#REF!</definedName>
    <definedName name="______lbc9" hidden="1">#REF!</definedName>
    <definedName name="______ld26" hidden="1">#REF!</definedName>
    <definedName name="______ld31" hidden="1">#REF!</definedName>
    <definedName name="______le31" hidden="1">#REF!</definedName>
    <definedName name="______lf31" hidden="1">#REF!</definedName>
    <definedName name="______Ser200506">#REF!</definedName>
    <definedName name="______x10" hidden="1">#REF!</definedName>
    <definedName name="______x11" hidden="1">#REF!</definedName>
    <definedName name="______x12" hidden="1">#REF!</definedName>
    <definedName name="______x13" hidden="1">#REF!</definedName>
    <definedName name="______x14" hidden="1">#REF!</definedName>
    <definedName name="______x15" hidden="1">#REF!</definedName>
    <definedName name="______x16" hidden="1">#REF!</definedName>
    <definedName name="______x17" hidden="1">#REF!</definedName>
    <definedName name="______x18" hidden="1">#REF!</definedName>
    <definedName name="______x19" hidden="1">#REF!</definedName>
    <definedName name="______x20" hidden="1">#REF!</definedName>
    <definedName name="______x21" hidden="1">#REF!</definedName>
    <definedName name="______x22" hidden="1">#REF!</definedName>
    <definedName name="______x23" hidden="1">#REF!</definedName>
    <definedName name="______x24" hidden="1">#REF!</definedName>
    <definedName name="______x25" hidden="1">#REF!</definedName>
    <definedName name="______x28" hidden="1">#REF!</definedName>
    <definedName name="______x29" hidden="1">#REF!</definedName>
    <definedName name="______x32" hidden="1">#REF!</definedName>
    <definedName name="______x4" hidden="1">#REF!</definedName>
    <definedName name="______x5" hidden="1">#REF!</definedName>
    <definedName name="______x6" hidden="1">#REF!</definedName>
    <definedName name="______x7" hidden="1">#REF!</definedName>
    <definedName name="______x8" hidden="1">#REF!</definedName>
    <definedName name="______x9" hidden="1">#REF!</definedName>
    <definedName name="_____la29" hidden="1">#REF!</definedName>
    <definedName name="_____la3" hidden="1">#REF!</definedName>
    <definedName name="_____la31" hidden="1">#REF!</definedName>
    <definedName name="_____la32" hidden="1">#REF!</definedName>
    <definedName name="_____la4" hidden="1">#REF!</definedName>
    <definedName name="_____la5" hidden="1">#REF!</definedName>
    <definedName name="_____la6" hidden="1">#REF!</definedName>
    <definedName name="_____la7" hidden="1">#REF!</definedName>
    <definedName name="_____la8" hidden="1">#REF!</definedName>
    <definedName name="_____la9" hidden="1">#REF!</definedName>
    <definedName name="_____lb1" hidden="1">#REF!</definedName>
    <definedName name="_____lb10" hidden="1">#REF!</definedName>
    <definedName name="_____lb11" hidden="1">#REF!</definedName>
    <definedName name="_____lb12" hidden="1">#REF!</definedName>
    <definedName name="_____lb13" hidden="1">#REF!</definedName>
    <definedName name="_____lb14" hidden="1">#REF!</definedName>
    <definedName name="_____lb15" hidden="1">#REF!</definedName>
    <definedName name="_____lb16" hidden="1">#REF!</definedName>
    <definedName name="_____lb17" hidden="1">#REF!</definedName>
    <definedName name="_____lb18" hidden="1">#REF!</definedName>
    <definedName name="_____lb19" hidden="1">#REF!</definedName>
    <definedName name="_____lb2" hidden="1">#REF!</definedName>
    <definedName name="_____lb20" hidden="1">#REF!</definedName>
    <definedName name="_____lb21" hidden="1">#REF!</definedName>
    <definedName name="_____lb22" hidden="1">#REF!</definedName>
    <definedName name="_____lb23" hidden="1">#REF!</definedName>
    <definedName name="_____lb24" hidden="1">#REF!</definedName>
    <definedName name="_____lb25" hidden="1">#REF!</definedName>
    <definedName name="_____lb27" hidden="1">#REF!</definedName>
    <definedName name="_____lb28" hidden="1">#REF!</definedName>
    <definedName name="_____lb29" hidden="1">#REF!</definedName>
    <definedName name="_____lb3" hidden="1">#REF!</definedName>
    <definedName name="_____lb30" hidden="1">#REF!</definedName>
    <definedName name="_____lb31" hidden="1">#REF!</definedName>
    <definedName name="_____lb32" hidden="1">#REF!</definedName>
    <definedName name="_____lb4" hidden="1">#REF!</definedName>
    <definedName name="_____lb5" hidden="1">#REF!</definedName>
    <definedName name="_____lb6" hidden="1">#REF!</definedName>
    <definedName name="_____lb7" hidden="1">#REF!</definedName>
    <definedName name="_____lb8" hidden="1">#REF!</definedName>
    <definedName name="_____lb9" hidden="1">#REF!</definedName>
    <definedName name="_____lbc1" hidden="1">#REF!</definedName>
    <definedName name="_____lbc10" hidden="1">#REF!</definedName>
    <definedName name="_____lbc11" hidden="1">#REF!</definedName>
    <definedName name="_____lbc12" hidden="1">#REF!</definedName>
    <definedName name="_____lbc13" hidden="1">#REF!</definedName>
    <definedName name="_____lbc14" hidden="1">#REF!</definedName>
    <definedName name="_____lbc15" hidden="1">#REF!</definedName>
    <definedName name="_____lbc16" hidden="1">#REF!</definedName>
    <definedName name="_____lbc17" hidden="1">#REF!</definedName>
    <definedName name="_____lbc18" hidden="1">#REF!</definedName>
    <definedName name="_____lbc19" hidden="1">#REF!</definedName>
    <definedName name="_____lbc2" hidden="1">#REF!</definedName>
    <definedName name="_____lbc20" hidden="1">#REF!</definedName>
    <definedName name="_____lbc21" hidden="1">#REF!</definedName>
    <definedName name="_____lbc22" hidden="1">#REF!</definedName>
    <definedName name="_____lbc23" hidden="1">#REF!</definedName>
    <definedName name="_____lbc24" hidden="1">#REF!</definedName>
    <definedName name="_____lbc25" hidden="1">#REF!</definedName>
    <definedName name="_____lbc26" hidden="1">#REF!</definedName>
    <definedName name="_____lbc27" hidden="1">#REF!</definedName>
    <definedName name="_____lbc28" hidden="1">#REF!</definedName>
    <definedName name="_____lbc29" hidden="1">#REF!</definedName>
    <definedName name="_____lbc3" hidden="1">#REF!</definedName>
    <definedName name="_____lbc31" hidden="1">#REF!</definedName>
    <definedName name="_____lbc32" hidden="1">#REF!</definedName>
    <definedName name="_____lbc4" hidden="1">#REF!</definedName>
    <definedName name="_____lbc5" hidden="1">#REF!</definedName>
    <definedName name="_____lbc6" hidden="1">#REF!</definedName>
    <definedName name="_____lbc7" hidden="1">#REF!</definedName>
    <definedName name="_____lbc8" hidden="1">#REF!</definedName>
    <definedName name="_____lbc9" hidden="1">#REF!</definedName>
    <definedName name="_____ld26" hidden="1">#REF!</definedName>
    <definedName name="_____ld31" hidden="1">#REF!</definedName>
    <definedName name="_____le31" hidden="1">#REF!</definedName>
    <definedName name="_____lf31" hidden="1">#REF!</definedName>
    <definedName name="_____pv2">#REF!</definedName>
    <definedName name="_____Ser200506">#REF!</definedName>
    <definedName name="_____x10" hidden="1">#REF!</definedName>
    <definedName name="_____x11" hidden="1">#REF!</definedName>
    <definedName name="_____x12" hidden="1">#REF!</definedName>
    <definedName name="_____x13" hidden="1">#REF!</definedName>
    <definedName name="_____x14" hidden="1">#REF!</definedName>
    <definedName name="_____x15" hidden="1">#REF!</definedName>
    <definedName name="_____x16" hidden="1">#REF!</definedName>
    <definedName name="_____x17" hidden="1">#REF!</definedName>
    <definedName name="_____x18" hidden="1">#REF!</definedName>
    <definedName name="_____x19" hidden="1">#REF!</definedName>
    <definedName name="_____x20" hidden="1">#REF!</definedName>
    <definedName name="_____x21" hidden="1">#REF!</definedName>
    <definedName name="_____x22" hidden="1">#REF!</definedName>
    <definedName name="_____x23" hidden="1">#REF!</definedName>
    <definedName name="_____x24" hidden="1">#REF!</definedName>
    <definedName name="_____x25" hidden="1">#REF!</definedName>
    <definedName name="_____x28" hidden="1">#REF!</definedName>
    <definedName name="_____x29" hidden="1">#REF!</definedName>
    <definedName name="_____x32" hidden="1">#REF!</definedName>
    <definedName name="_____x4" hidden="1">#REF!</definedName>
    <definedName name="_____x5" hidden="1">#REF!</definedName>
    <definedName name="_____x6" hidden="1">#REF!</definedName>
    <definedName name="_____x7" hidden="1">#REF!</definedName>
    <definedName name="_____x8" hidden="1">#REF!</definedName>
    <definedName name="_____x9" hidden="1">#REF!</definedName>
    <definedName name="____Ele200502">#REF!</definedName>
    <definedName name="____Ele200609">#REF!</definedName>
    <definedName name="____est1">#REF!</definedName>
    <definedName name="____la29" hidden="1">#REF!</definedName>
    <definedName name="____la3" hidden="1">#REF!</definedName>
    <definedName name="____la31" hidden="1">#REF!</definedName>
    <definedName name="____la32" hidden="1">#REF!</definedName>
    <definedName name="____la4" hidden="1">#REF!</definedName>
    <definedName name="____la5" hidden="1">#REF!</definedName>
    <definedName name="____la6" hidden="1">#REF!</definedName>
    <definedName name="____la7" hidden="1">#REF!</definedName>
    <definedName name="____la8" hidden="1">#REF!</definedName>
    <definedName name="____la9" hidden="1">#REF!</definedName>
    <definedName name="____lb1" hidden="1">#REF!</definedName>
    <definedName name="____lb10" hidden="1">#REF!</definedName>
    <definedName name="____lb11" hidden="1">#REF!</definedName>
    <definedName name="____lb12" hidden="1">#REF!</definedName>
    <definedName name="____lb13" hidden="1">#REF!</definedName>
    <definedName name="____lb14" hidden="1">#REF!</definedName>
    <definedName name="____lb15" hidden="1">#REF!</definedName>
    <definedName name="____lb16" hidden="1">#REF!</definedName>
    <definedName name="____lb17" hidden="1">#REF!</definedName>
    <definedName name="____lb18" hidden="1">#REF!</definedName>
    <definedName name="____lb19" hidden="1">#REF!</definedName>
    <definedName name="____lb2" hidden="1">#REF!</definedName>
    <definedName name="____lb20" hidden="1">#REF!</definedName>
    <definedName name="____lb21" hidden="1">#REF!</definedName>
    <definedName name="____lb22" hidden="1">#REF!</definedName>
    <definedName name="____lb23" hidden="1">#REF!</definedName>
    <definedName name="____lb24" hidden="1">#REF!</definedName>
    <definedName name="____lb25" hidden="1">#REF!</definedName>
    <definedName name="____lb27" hidden="1">#REF!</definedName>
    <definedName name="____lb28" hidden="1">#REF!</definedName>
    <definedName name="____lb29" hidden="1">#REF!</definedName>
    <definedName name="____lb3" hidden="1">#REF!</definedName>
    <definedName name="____lb30" hidden="1">#REF!</definedName>
    <definedName name="____lb31" hidden="1">#REF!</definedName>
    <definedName name="____lb32" hidden="1">#REF!</definedName>
    <definedName name="____lb4" hidden="1">#REF!</definedName>
    <definedName name="____lb5" hidden="1">#REF!</definedName>
    <definedName name="____lb6" hidden="1">#REF!</definedName>
    <definedName name="____lb7" hidden="1">#REF!</definedName>
    <definedName name="____lb8" hidden="1">#REF!</definedName>
    <definedName name="____lb9" hidden="1">#REF!</definedName>
    <definedName name="____lbc1" hidden="1">#REF!</definedName>
    <definedName name="____lbc10" hidden="1">#REF!</definedName>
    <definedName name="____lbc11" hidden="1">#REF!</definedName>
    <definedName name="____lbc12" hidden="1">#REF!</definedName>
    <definedName name="____lbc13" hidden="1">#REF!</definedName>
    <definedName name="____lbc14" hidden="1">#REF!</definedName>
    <definedName name="____lbc15" hidden="1">#REF!</definedName>
    <definedName name="____lbc16" hidden="1">#REF!</definedName>
    <definedName name="____lbc17" hidden="1">#REF!</definedName>
    <definedName name="____lbc18" hidden="1">#REF!</definedName>
    <definedName name="____lbc19" hidden="1">#REF!</definedName>
    <definedName name="____lbc2" hidden="1">#REF!</definedName>
    <definedName name="____lbc20" hidden="1">#REF!</definedName>
    <definedName name="____lbc21" hidden="1">#REF!</definedName>
    <definedName name="____lbc22" hidden="1">#REF!</definedName>
    <definedName name="____lbc23" hidden="1">#REF!</definedName>
    <definedName name="____lbc24" hidden="1">#REF!</definedName>
    <definedName name="____lbc25" hidden="1">#REF!</definedName>
    <definedName name="____lbc26" hidden="1">#REF!</definedName>
    <definedName name="____lbc27" hidden="1">#REF!</definedName>
    <definedName name="____lbc28" hidden="1">#REF!</definedName>
    <definedName name="____lbc29" hidden="1">#REF!</definedName>
    <definedName name="____lbc3" hidden="1">#REF!</definedName>
    <definedName name="____lbc31" hidden="1">#REF!</definedName>
    <definedName name="____lbc32" hidden="1">#REF!</definedName>
    <definedName name="____lbc4" hidden="1">#REF!</definedName>
    <definedName name="____lbc5" hidden="1">#REF!</definedName>
    <definedName name="____lbc6" hidden="1">#REF!</definedName>
    <definedName name="____lbc7" hidden="1">#REF!</definedName>
    <definedName name="____lbc8" hidden="1">#REF!</definedName>
    <definedName name="____lbc9" hidden="1">#REF!</definedName>
    <definedName name="____ld26" hidden="1">#REF!</definedName>
    <definedName name="____ld31" hidden="1">#REF!</definedName>
    <definedName name="____le31" hidden="1">#REF!</definedName>
    <definedName name="____lf31" hidden="1">#REF!</definedName>
    <definedName name="____pv2">#REF!</definedName>
    <definedName name="____pv3">#REF!</definedName>
    <definedName name="____Ser200506">#REF!</definedName>
    <definedName name="____Ser200705">#REF!</definedName>
    <definedName name="____Ser200712">#REF!</definedName>
    <definedName name="____x10" hidden="1">#REF!</definedName>
    <definedName name="____x11" hidden="1">#REF!</definedName>
    <definedName name="____x12" hidden="1">#REF!</definedName>
    <definedName name="____x13" hidden="1">#REF!</definedName>
    <definedName name="____x14" hidden="1">#REF!</definedName>
    <definedName name="____x15" hidden="1">#REF!</definedName>
    <definedName name="____x16" hidden="1">#REF!</definedName>
    <definedName name="____x17" hidden="1">#REF!</definedName>
    <definedName name="____x18" hidden="1">#REF!</definedName>
    <definedName name="____x19" hidden="1">#REF!</definedName>
    <definedName name="____x20" hidden="1">#REF!</definedName>
    <definedName name="____x21" hidden="1">#REF!</definedName>
    <definedName name="____x22" hidden="1">#REF!</definedName>
    <definedName name="____x23" hidden="1">#REF!</definedName>
    <definedName name="____x24" hidden="1">#REF!</definedName>
    <definedName name="____x25" hidden="1">#REF!</definedName>
    <definedName name="____x28" hidden="1">#REF!</definedName>
    <definedName name="____x29" hidden="1">#REF!</definedName>
    <definedName name="____x32" hidden="1">#REF!</definedName>
    <definedName name="____x4" hidden="1">#REF!</definedName>
    <definedName name="____x5" hidden="1">#REF!</definedName>
    <definedName name="____x6" hidden="1">#REF!</definedName>
    <definedName name="____x7" hidden="1">#REF!</definedName>
    <definedName name="____x8" hidden="1">#REF!</definedName>
    <definedName name="____x9" hidden="1">#REF!</definedName>
    <definedName name="___Ele200502">#REF!</definedName>
    <definedName name="___Ele200609">#REF!</definedName>
    <definedName name="___est1">#REF!</definedName>
    <definedName name="___la29" hidden="1">#REF!</definedName>
    <definedName name="___la3" hidden="1">#REF!</definedName>
    <definedName name="___la31" hidden="1">#REF!</definedName>
    <definedName name="___la32" hidden="1">#REF!</definedName>
    <definedName name="___la4" hidden="1">#REF!</definedName>
    <definedName name="___la5" hidden="1">#REF!</definedName>
    <definedName name="___la6" hidden="1">#REF!</definedName>
    <definedName name="___la7" hidden="1">#REF!</definedName>
    <definedName name="___la8" hidden="1">#REF!</definedName>
    <definedName name="___la9" hidden="1">#REF!</definedName>
    <definedName name="___lb1" hidden="1">#REF!</definedName>
    <definedName name="___lb10" hidden="1">#REF!</definedName>
    <definedName name="___lb11" hidden="1">#REF!</definedName>
    <definedName name="___lb12" hidden="1">#REF!</definedName>
    <definedName name="___lb13" hidden="1">#REF!</definedName>
    <definedName name="___lb14" hidden="1">#REF!</definedName>
    <definedName name="___lb15" hidden="1">#REF!</definedName>
    <definedName name="___lb16" hidden="1">#REF!</definedName>
    <definedName name="___lb17" hidden="1">#REF!</definedName>
    <definedName name="___lb18" hidden="1">#REF!</definedName>
    <definedName name="___lb19" hidden="1">#REF!</definedName>
    <definedName name="___lb2" hidden="1">#REF!</definedName>
    <definedName name="___lb20" hidden="1">#REF!</definedName>
    <definedName name="___lb21" hidden="1">#REF!</definedName>
    <definedName name="___lb22" hidden="1">#REF!</definedName>
    <definedName name="___lb23" hidden="1">#REF!</definedName>
    <definedName name="___lb24" hidden="1">#REF!</definedName>
    <definedName name="___lb25" hidden="1">#REF!</definedName>
    <definedName name="___lb27" hidden="1">#REF!</definedName>
    <definedName name="___lb28" hidden="1">#REF!</definedName>
    <definedName name="___lb29" hidden="1">#REF!</definedName>
    <definedName name="___lb3" hidden="1">#REF!</definedName>
    <definedName name="___lb30" hidden="1">#REF!</definedName>
    <definedName name="___lb31" hidden="1">#REF!</definedName>
    <definedName name="___lb32" hidden="1">#REF!</definedName>
    <definedName name="___lb4" hidden="1">#REF!</definedName>
    <definedName name="___lb5" hidden="1">#REF!</definedName>
    <definedName name="___lb6" hidden="1">#REF!</definedName>
    <definedName name="___lb7" hidden="1">#REF!</definedName>
    <definedName name="___lb8" hidden="1">#REF!</definedName>
    <definedName name="___lb9" hidden="1">#REF!</definedName>
    <definedName name="___lbc1" hidden="1">#REF!</definedName>
    <definedName name="___lbc10" hidden="1">#REF!</definedName>
    <definedName name="___lbc11" hidden="1">#REF!</definedName>
    <definedName name="___lbc12" hidden="1">#REF!</definedName>
    <definedName name="___lbc13" hidden="1">#REF!</definedName>
    <definedName name="___lbc14" hidden="1">#REF!</definedName>
    <definedName name="___lbc15" hidden="1">#REF!</definedName>
    <definedName name="___lbc16" hidden="1">#REF!</definedName>
    <definedName name="___lbc17" hidden="1">#REF!</definedName>
    <definedName name="___lbc18" hidden="1">#REF!</definedName>
    <definedName name="___lbc19" hidden="1">#REF!</definedName>
    <definedName name="___lbc2" hidden="1">#REF!</definedName>
    <definedName name="___lbc20" hidden="1">#REF!</definedName>
    <definedName name="___lbc21" hidden="1">#REF!</definedName>
    <definedName name="___lbc22" hidden="1">#REF!</definedName>
    <definedName name="___lbc23" hidden="1">#REF!</definedName>
    <definedName name="___lbc24" hidden="1">#REF!</definedName>
    <definedName name="___lbc25" hidden="1">#REF!</definedName>
    <definedName name="___lbc26" hidden="1">#REF!</definedName>
    <definedName name="___lbc27" hidden="1">#REF!</definedName>
    <definedName name="___lbc28" hidden="1">#REF!</definedName>
    <definedName name="___lbc29" hidden="1">#REF!</definedName>
    <definedName name="___lbc3" hidden="1">#REF!</definedName>
    <definedName name="___lbc31" hidden="1">#REF!</definedName>
    <definedName name="___lbc32" hidden="1">#REF!</definedName>
    <definedName name="___lbc4" hidden="1">#REF!</definedName>
    <definedName name="___lbc5" hidden="1">#REF!</definedName>
    <definedName name="___lbc6" hidden="1">#REF!</definedName>
    <definedName name="___lbc7" hidden="1">#REF!</definedName>
    <definedName name="___lbc8" hidden="1">#REF!</definedName>
    <definedName name="___lbc9" hidden="1">#REF!</definedName>
    <definedName name="___ld26" hidden="1">#REF!</definedName>
    <definedName name="___ld31" hidden="1">#REF!</definedName>
    <definedName name="___le31" hidden="1">#REF!</definedName>
    <definedName name="___lf31" hidden="1">#REF!</definedName>
    <definedName name="___pv2">#REF!</definedName>
    <definedName name="___pv3">#REF!</definedName>
    <definedName name="___Ser200506">#REF!</definedName>
    <definedName name="___Ser200705">#REF!</definedName>
    <definedName name="___Ser200712">#REF!</definedName>
    <definedName name="___x10" hidden="1">#REF!</definedName>
    <definedName name="___x11" hidden="1">#REF!</definedName>
    <definedName name="___x12" hidden="1">#REF!</definedName>
    <definedName name="___x13" hidden="1">#REF!</definedName>
    <definedName name="___x14" hidden="1">#REF!</definedName>
    <definedName name="___x15" hidden="1">#REF!</definedName>
    <definedName name="___x16" hidden="1">#REF!</definedName>
    <definedName name="___x17" hidden="1">#REF!</definedName>
    <definedName name="___x18" hidden="1">#REF!</definedName>
    <definedName name="___x19" hidden="1">#REF!</definedName>
    <definedName name="___x20" hidden="1">#REF!</definedName>
    <definedName name="___x21" hidden="1">#REF!</definedName>
    <definedName name="___x22" hidden="1">#REF!</definedName>
    <definedName name="___x23" hidden="1">#REF!</definedName>
    <definedName name="___x24" hidden="1">#REF!</definedName>
    <definedName name="___x25" hidden="1">#REF!</definedName>
    <definedName name="___x28" hidden="1">#REF!</definedName>
    <definedName name="___x29" hidden="1">#REF!</definedName>
    <definedName name="___x32" hidden="1">#REF!</definedName>
    <definedName name="___x4" hidden="1">#REF!</definedName>
    <definedName name="___x5" hidden="1">#REF!</definedName>
    <definedName name="___x6" hidden="1">#REF!</definedName>
    <definedName name="___x7" hidden="1">#REF!</definedName>
    <definedName name="___x8" hidden="1">#REF!</definedName>
    <definedName name="___x9" hidden="1">#REF!</definedName>
    <definedName name="__123Graph_A" hidden="1">#REF!</definedName>
    <definedName name="__123Graph_ABENZENE" hidden="1">#REF!</definedName>
    <definedName name="__123Graph_ABUTADIENE" hidden="1">#REF!</definedName>
    <definedName name="__123Graph_ACAPRO" hidden="1">#REF!</definedName>
    <definedName name="__123Graph_ACURRENT" hidden="1">#REF!</definedName>
    <definedName name="__123Graph_AETHYLENE" hidden="1">#REF!</definedName>
    <definedName name="__123Graph_AEVAC" hidden="1">#REF!</definedName>
    <definedName name="__123Graph_AHDPE" hidden="1">#REF!</definedName>
    <definedName name="__123Graph_ALDPE" hidden="1">#REF!</definedName>
    <definedName name="__123Graph_ALLDPE" hidden="1">#REF!</definedName>
    <definedName name="__123Graph_AMARGINS" hidden="1">#REF!</definedName>
    <definedName name="__123Graph_AMTBE" hidden="1">#REF!</definedName>
    <definedName name="__123Graph_ANAPHTHA" hidden="1">#REF!</definedName>
    <definedName name="__123Graph_APET" hidden="1">#REF!</definedName>
    <definedName name="__123Graph_APP" hidden="1">#REF!</definedName>
    <definedName name="__123Graph_APROPYLENE" hidden="1">#REF!</definedName>
    <definedName name="__123Graph_APVC" hidden="1">#REF!</definedName>
    <definedName name="__123Graph_APX" hidden="1">#REF!</definedName>
    <definedName name="__123Graph_ASIDECO" hidden="1">#REF!</definedName>
    <definedName name="__123Graph_ATOL" hidden="1">#REF!</definedName>
    <definedName name="__123Graph_AYTDSALES" hidden="1">#REF!</definedName>
    <definedName name="__123Graph_B" hidden="1">#REF!</definedName>
    <definedName name="__123Graph_BBENZENE" hidden="1">#REF!</definedName>
    <definedName name="__123Graph_BBUTADIENE" hidden="1">#REF!</definedName>
    <definedName name="__123Graph_BCAPRO" hidden="1">#REF!</definedName>
    <definedName name="__123Graph_BETHYLENE" hidden="1">#REF!</definedName>
    <definedName name="__123Graph_BHDPE" hidden="1">#REF!</definedName>
    <definedName name="__123Graph_BLDPE" hidden="1">#REF!</definedName>
    <definedName name="__123Graph_BLLDPE" hidden="1">#REF!</definedName>
    <definedName name="__123Graph_BMARGINS" hidden="1">#REF!</definedName>
    <definedName name="__123Graph_BMTBE" hidden="1">#REF!</definedName>
    <definedName name="__123Graph_BNAPHTHA" hidden="1">#REF!</definedName>
    <definedName name="__123Graph_BPET" hidden="1">#REF!</definedName>
    <definedName name="__123Graph_BPP" hidden="1">#REF!</definedName>
    <definedName name="__123Graph_BPROPYLENE" hidden="1">#REF!</definedName>
    <definedName name="__123Graph_BPVC" hidden="1">#REF!</definedName>
    <definedName name="__123Graph_BPX" hidden="1">#REF!</definedName>
    <definedName name="__123Graph_BSIDECO" hidden="1">#REF!</definedName>
    <definedName name="__123Graph_BTOL" hidden="1">#REF!</definedName>
    <definedName name="__123Graph_C" hidden="1">#REF!</definedName>
    <definedName name="__123Graph_CBENZENE" hidden="1">#REF!</definedName>
    <definedName name="__123Graph_CBUTADIENE" hidden="1">#REF!</definedName>
    <definedName name="__123Graph_CCAPRO" hidden="1">#REF!</definedName>
    <definedName name="__123Graph_CETHYLENE" hidden="1">#REF!</definedName>
    <definedName name="__123Graph_CEVAC" hidden="1">#REF!</definedName>
    <definedName name="__123Graph_CHDPE" hidden="1">#REF!</definedName>
    <definedName name="__123Graph_CLDPE" hidden="1">#REF!</definedName>
    <definedName name="__123Graph_CLLDPE" hidden="1">#REF!</definedName>
    <definedName name="__123Graph_CMTBE" hidden="1">#REF!</definedName>
    <definedName name="__123Graph_CNAPHTHA" hidden="1">#REF!</definedName>
    <definedName name="__123Graph_CPET" hidden="1">#REF!</definedName>
    <definedName name="__123Graph_CPP" hidden="1">#REF!</definedName>
    <definedName name="__123Graph_CPROPYLENE" hidden="1">#REF!</definedName>
    <definedName name="__123Graph_CPVC" hidden="1">#REF!</definedName>
    <definedName name="__123Graph_CPX" hidden="1">#REF!</definedName>
    <definedName name="__123Graph_CSIDECO" hidden="1">#REF!</definedName>
    <definedName name="__123Graph_CTOL" hidden="1">#REF!</definedName>
    <definedName name="__123Graph_D" hidden="1">#REF!</definedName>
    <definedName name="__123Graph_DBENZENE" hidden="1">#REF!</definedName>
    <definedName name="__123Graph_DBUTADIENE" hidden="1">#REF!</definedName>
    <definedName name="__123Graph_DCAPRO" hidden="1">#REF!</definedName>
    <definedName name="__123Graph_DETHYLENE" hidden="1">#REF!</definedName>
    <definedName name="__123Graph_DEVAC" hidden="1">#REF!</definedName>
    <definedName name="__123Graph_DHDPE" hidden="1">#REF!</definedName>
    <definedName name="__123Graph_DLDPE" hidden="1">#REF!</definedName>
    <definedName name="__123Graph_DLLDPE" hidden="1">#REF!</definedName>
    <definedName name="__123Graph_DMTBE" hidden="1">#REF!</definedName>
    <definedName name="__123Graph_DNAPHTHA" hidden="1">#REF!</definedName>
    <definedName name="__123Graph_DPET" hidden="1">#REF!</definedName>
    <definedName name="__123Graph_DPP" hidden="1">#REF!</definedName>
    <definedName name="__123Graph_DPROPYLENE" hidden="1">#REF!</definedName>
    <definedName name="__123Graph_DPVC" hidden="1">#REF!</definedName>
    <definedName name="__123Graph_DPX" hidden="1">#REF!</definedName>
    <definedName name="__123Graph_DTOL" hidden="1">#REF!</definedName>
    <definedName name="__123Graph_E" hidden="1">#REF!</definedName>
    <definedName name="__123Graph_EBENZENE" hidden="1">#REF!</definedName>
    <definedName name="__123Graph_EBUTADIENE" hidden="1">#REF!</definedName>
    <definedName name="__123Graph_ECAPRO" hidden="1">#REF!</definedName>
    <definedName name="__123Graph_EETHYLENE" hidden="1">#REF!</definedName>
    <definedName name="__123Graph_EHDPE" hidden="1">#REF!</definedName>
    <definedName name="__123Graph_ELDPE" hidden="1">#REF!</definedName>
    <definedName name="__123Graph_ELLDPE" hidden="1">#REF!</definedName>
    <definedName name="__123Graph_EMTBE" hidden="1">#REF!</definedName>
    <definedName name="__123Graph_ENAPHTHA" hidden="1">#REF!</definedName>
    <definedName name="__123Graph_EPET" hidden="1">#REF!</definedName>
    <definedName name="__123Graph_EPP" hidden="1">#REF!</definedName>
    <definedName name="__123Graph_EPROPYLENE" hidden="1">#REF!</definedName>
    <definedName name="__123Graph_EPVC" hidden="1">#REF!</definedName>
    <definedName name="__123Graph_EPX" hidden="1">#REF!</definedName>
    <definedName name="__123Graph_ETOL" hidden="1">#REF!</definedName>
    <definedName name="__123Graph_F" hidden="1">#REF!</definedName>
    <definedName name="__123Graph_FBENZENE" hidden="1">#REF!</definedName>
    <definedName name="__123Graph_FBUTADIENE" hidden="1">#REF!</definedName>
    <definedName name="__123Graph_FCAPRO" hidden="1">#REF!</definedName>
    <definedName name="__123Graph_FETHYLENE" hidden="1">#REF!</definedName>
    <definedName name="__123Graph_FEVAC" hidden="1">#REF!</definedName>
    <definedName name="__123Graph_FHDPE" hidden="1">#REF!</definedName>
    <definedName name="__123Graph_FLDPE" hidden="1">#REF!</definedName>
    <definedName name="__123Graph_FLLDPE" hidden="1">#REF!</definedName>
    <definedName name="__123Graph_FMTBE" hidden="1">#REF!</definedName>
    <definedName name="__123Graph_FNAPHTHA" hidden="1">#REF!</definedName>
    <definedName name="__123Graph_FPET" hidden="1">#REF!</definedName>
    <definedName name="__123Graph_FPP" hidden="1">#REF!</definedName>
    <definedName name="__123Graph_FPROPYLENE" hidden="1">#REF!</definedName>
    <definedName name="__123Graph_FPVC" hidden="1">#REF!</definedName>
    <definedName name="__123Graph_FPX" hidden="1">#REF!</definedName>
    <definedName name="__123Graph_FTOL" hidden="1">#REF!</definedName>
    <definedName name="__123Graph_X" hidden="1">#REF!</definedName>
    <definedName name="__123Graph_XBENZENE" hidden="1">#REF!</definedName>
    <definedName name="__123Graph_XBUTADIENE" hidden="1">#REF!</definedName>
    <definedName name="__123Graph_XCAPRO" hidden="1">#REF!</definedName>
    <definedName name="__123Graph_XCURRENT" hidden="1">#REF!</definedName>
    <definedName name="__123Graph_XETHYLENE" hidden="1">#REF!</definedName>
    <definedName name="__123Graph_XEVAC" hidden="1">#REF!</definedName>
    <definedName name="__123Graph_XHDPE" hidden="1">#REF!</definedName>
    <definedName name="__123Graph_XLDPE" hidden="1">#REF!</definedName>
    <definedName name="__123Graph_XLLDPE" hidden="1">#REF!</definedName>
    <definedName name="__123Graph_XMTBE" hidden="1">#REF!</definedName>
    <definedName name="__123Graph_XNAPHTHA" hidden="1">#REF!</definedName>
    <definedName name="__123Graph_XPET" hidden="1">#REF!</definedName>
    <definedName name="__123Graph_XPP" hidden="1">#REF!</definedName>
    <definedName name="__123Graph_XPROPYLENE" hidden="1">#REF!</definedName>
    <definedName name="__123Graph_XPVC" hidden="1">#REF!</definedName>
    <definedName name="__123Graph_XPX" hidden="1">#REF!</definedName>
    <definedName name="__123Graph_XSIDECO" hidden="1">#REF!</definedName>
    <definedName name="__123Graph_XTOL" hidden="1">#REF!</definedName>
    <definedName name="__123Graph_XYTDSALES" hidden="1">#REF!</definedName>
    <definedName name="__Ele200502">#REF!</definedName>
    <definedName name="__Ele200609">#REF!</definedName>
    <definedName name="__est1">#REF!</definedName>
    <definedName name="__la29" hidden="1">#REF!</definedName>
    <definedName name="__la3" hidden="1">#REF!</definedName>
    <definedName name="__la31" hidden="1">#REF!</definedName>
    <definedName name="__la32" hidden="1">#REF!</definedName>
    <definedName name="__la4" hidden="1">#REF!</definedName>
    <definedName name="__la5" hidden="1">#REF!</definedName>
    <definedName name="__la6" hidden="1">#REF!</definedName>
    <definedName name="__la7" hidden="1">#REF!</definedName>
    <definedName name="__la8" hidden="1">#REF!</definedName>
    <definedName name="__la9" hidden="1">#REF!</definedName>
    <definedName name="__lb1" hidden="1">#REF!</definedName>
    <definedName name="__lb10" hidden="1">#REF!</definedName>
    <definedName name="__lb11" hidden="1">#REF!</definedName>
    <definedName name="__lb12" hidden="1">#REF!</definedName>
    <definedName name="__lb13" hidden="1">#REF!</definedName>
    <definedName name="__lb14" hidden="1">#REF!</definedName>
    <definedName name="__lb15" hidden="1">#REF!</definedName>
    <definedName name="__lb16" hidden="1">#REF!</definedName>
    <definedName name="__lb17" hidden="1">#REF!</definedName>
    <definedName name="__lb18" hidden="1">#REF!</definedName>
    <definedName name="__lb19" hidden="1">#REF!</definedName>
    <definedName name="__lb2" hidden="1">#REF!</definedName>
    <definedName name="__lb20" hidden="1">#REF!</definedName>
    <definedName name="__lb21" hidden="1">#REF!</definedName>
    <definedName name="__lb22" hidden="1">#REF!</definedName>
    <definedName name="__lb23" hidden="1">#REF!</definedName>
    <definedName name="__lb24" hidden="1">#REF!</definedName>
    <definedName name="__lb25" hidden="1">#REF!</definedName>
    <definedName name="__lb27" hidden="1">#REF!</definedName>
    <definedName name="__lb28" hidden="1">#REF!</definedName>
    <definedName name="__lb29" hidden="1">#REF!</definedName>
    <definedName name="__lb3" hidden="1">#REF!</definedName>
    <definedName name="__lb30" hidden="1">#REF!</definedName>
    <definedName name="__lb31" hidden="1">#REF!</definedName>
    <definedName name="__lb32" hidden="1">#REF!</definedName>
    <definedName name="__lb4" hidden="1">#REF!</definedName>
    <definedName name="__lb5" hidden="1">#REF!</definedName>
    <definedName name="__lb6" hidden="1">#REF!</definedName>
    <definedName name="__lb7" hidden="1">#REF!</definedName>
    <definedName name="__lb8" hidden="1">#REF!</definedName>
    <definedName name="__lb9" hidden="1">#REF!</definedName>
    <definedName name="__lbc1" hidden="1">#REF!</definedName>
    <definedName name="__lbc10" hidden="1">#REF!</definedName>
    <definedName name="__lbc11" hidden="1">#REF!</definedName>
    <definedName name="__lbc12" hidden="1">#REF!</definedName>
    <definedName name="__lbc13" hidden="1">#REF!</definedName>
    <definedName name="__lbc14" hidden="1">#REF!</definedName>
    <definedName name="__lbc15" hidden="1">#REF!</definedName>
    <definedName name="__lbc16" hidden="1">#REF!</definedName>
    <definedName name="__lbc17" hidden="1">#REF!</definedName>
    <definedName name="__lbc18" hidden="1">#REF!</definedName>
    <definedName name="__lbc19" hidden="1">#REF!</definedName>
    <definedName name="__lbc2" hidden="1">#REF!</definedName>
    <definedName name="__lbc20" hidden="1">#REF!</definedName>
    <definedName name="__lbc21" hidden="1">#REF!</definedName>
    <definedName name="__lbc22" hidden="1">#REF!</definedName>
    <definedName name="__lbc23" hidden="1">#REF!</definedName>
    <definedName name="__lbc24" hidden="1">#REF!</definedName>
    <definedName name="__lbc25" hidden="1">#REF!</definedName>
    <definedName name="__lbc26" hidden="1">#REF!</definedName>
    <definedName name="__lbc27" hidden="1">#REF!</definedName>
    <definedName name="__lbc28" hidden="1">#REF!</definedName>
    <definedName name="__lbc29" hidden="1">#REF!</definedName>
    <definedName name="__lbc3" hidden="1">#REF!</definedName>
    <definedName name="__lbc31" hidden="1">#REF!</definedName>
    <definedName name="__lbc32" hidden="1">#REF!</definedName>
    <definedName name="__lbc4" hidden="1">#REF!</definedName>
    <definedName name="__lbc5" hidden="1">#REF!</definedName>
    <definedName name="__lbc6" hidden="1">#REF!</definedName>
    <definedName name="__lbc7" hidden="1">#REF!</definedName>
    <definedName name="__lbc8" hidden="1">#REF!</definedName>
    <definedName name="__lbc9" hidden="1">#REF!</definedName>
    <definedName name="__ld26" hidden="1">#REF!</definedName>
    <definedName name="__ld31" hidden="1">#REF!</definedName>
    <definedName name="__le31" hidden="1">#REF!</definedName>
    <definedName name="__lf31" hidden="1">#REF!</definedName>
    <definedName name="__pv2">#REF!</definedName>
    <definedName name="__pv3">#REF!</definedName>
    <definedName name="__Ser200506">#REF!</definedName>
    <definedName name="__Ser200705">#REF!</definedName>
    <definedName name="__Ser200712">#REF!</definedName>
    <definedName name="__x10" hidden="1">#REF!</definedName>
    <definedName name="__x11" hidden="1">#REF!</definedName>
    <definedName name="__x12" hidden="1">#REF!</definedName>
    <definedName name="__x13" hidden="1">#REF!</definedName>
    <definedName name="__x14" hidden="1">#REF!</definedName>
    <definedName name="__x15" hidden="1">#REF!</definedName>
    <definedName name="__x16" hidden="1">#REF!</definedName>
    <definedName name="__x17" hidden="1">#REF!</definedName>
    <definedName name="__x18" hidden="1">#REF!</definedName>
    <definedName name="__x19" hidden="1">#REF!</definedName>
    <definedName name="__x20" hidden="1">#REF!</definedName>
    <definedName name="__x21" hidden="1">#REF!</definedName>
    <definedName name="__x22" hidden="1">#REF!</definedName>
    <definedName name="__x23" hidden="1">#REF!</definedName>
    <definedName name="__x24" hidden="1">#REF!</definedName>
    <definedName name="__x25" hidden="1">#REF!</definedName>
    <definedName name="__x28" hidden="1">#REF!</definedName>
    <definedName name="__x29" hidden="1">#REF!</definedName>
    <definedName name="__x32" hidden="1">#REF!</definedName>
    <definedName name="__x4" hidden="1">#REF!</definedName>
    <definedName name="__x5" hidden="1">#REF!</definedName>
    <definedName name="__x6" hidden="1">#REF!</definedName>
    <definedName name="__x7" hidden="1">#REF!</definedName>
    <definedName name="__x8" hidden="1">#REF!</definedName>
    <definedName name="__x9" hidden="1">#REF!</definedName>
    <definedName name="__xlnm__FilterDatabase">#REF!</definedName>
    <definedName name="__xlnm__FilterDatabase_1">#REF!</definedName>
    <definedName name="__xlnm_Print_Area">#REF!</definedName>
    <definedName name="__xlnm_Print_Area_1">#REF!</definedName>
    <definedName name="__xlnm_Print_Area_2">#REF!</definedName>
    <definedName name="__xlnm_Print_Area_3">#REF!</definedName>
    <definedName name="__xlnm_Print_Area_4">#REF!</definedName>
    <definedName name="_0">#REF!</definedName>
    <definedName name="_1__123Graph_ACHART_1" hidden="1">#REF!</definedName>
    <definedName name="_10_1">#REF!</definedName>
    <definedName name="_1Excel_BuiltIn__FilterDatabase_8_3_1">#REF!</definedName>
    <definedName name="_2__123Graph_BCHART_1" hidden="1">#REF!</definedName>
    <definedName name="_3__123Graph_XCHART_1" hidden="1">#REF!</definedName>
    <definedName name="_321" hidden="1">#REF!</definedName>
    <definedName name="_7__123Graph_XCHART_1" hidden="1">#REF!</definedName>
    <definedName name="_a">#REF!</definedName>
    <definedName name="_bdm.A2481A9A3F8A41D5A05EF237366C3B7F.edm" hidden="1">#REF!</definedName>
    <definedName name="_Dist_Values" hidden="1">#REF!</definedName>
    <definedName name="_Ele200502">#REF!</definedName>
    <definedName name="_Ele200609">#REF!</definedName>
    <definedName name="_est1">#REF!</definedName>
    <definedName name="_Fill" hidden="1">#REF!</definedName>
    <definedName name="_Key1" hidden="1">#REF!</definedName>
    <definedName name="_Key2" hidden="1">#REF!</definedName>
    <definedName name="_la29" hidden="1">#REF!</definedName>
    <definedName name="_la3" hidden="1">#REF!</definedName>
    <definedName name="_la31" hidden="1">#REF!</definedName>
    <definedName name="_la32" hidden="1">#REF!</definedName>
    <definedName name="_la4" hidden="1">#REF!</definedName>
    <definedName name="_la5" hidden="1">#REF!</definedName>
    <definedName name="_la6" hidden="1">#REF!</definedName>
    <definedName name="_la7" hidden="1">#REF!</definedName>
    <definedName name="_la8" hidden="1">#REF!</definedName>
    <definedName name="_la9" hidden="1">#REF!</definedName>
    <definedName name="_lb1" hidden="1">#REF!</definedName>
    <definedName name="_lb10" hidden="1">#REF!</definedName>
    <definedName name="_lb11" hidden="1">#REF!</definedName>
    <definedName name="_lb12" hidden="1">#REF!</definedName>
    <definedName name="_lb13" hidden="1">#REF!</definedName>
    <definedName name="_lb14" hidden="1">#REF!</definedName>
    <definedName name="_lb15" hidden="1">#REF!</definedName>
    <definedName name="_lb16" hidden="1">#REF!</definedName>
    <definedName name="_lb17" hidden="1">#REF!</definedName>
    <definedName name="_lb18" hidden="1">#REF!</definedName>
    <definedName name="_lb19" hidden="1">#REF!</definedName>
    <definedName name="_lb2" hidden="1">#REF!</definedName>
    <definedName name="_lb20" hidden="1">#REF!</definedName>
    <definedName name="_lb21" hidden="1">#REF!</definedName>
    <definedName name="_lb22" hidden="1">#REF!</definedName>
    <definedName name="_lb23" hidden="1">#REF!</definedName>
    <definedName name="_lb24" hidden="1">#REF!</definedName>
    <definedName name="_lb25" hidden="1">#REF!</definedName>
    <definedName name="_lb27" hidden="1">#REF!</definedName>
    <definedName name="_lb28" hidden="1">#REF!</definedName>
    <definedName name="_lb29" hidden="1">#REF!</definedName>
    <definedName name="_lb3" hidden="1">#REF!</definedName>
    <definedName name="_lb30" hidden="1">#REF!</definedName>
    <definedName name="_lb31" hidden="1">#REF!</definedName>
    <definedName name="_lb32" hidden="1">#REF!</definedName>
    <definedName name="_lb4" hidden="1">#REF!</definedName>
    <definedName name="_lb5" hidden="1">#REF!</definedName>
    <definedName name="_lb6" hidden="1">#REF!</definedName>
    <definedName name="_lb7" hidden="1">#REF!</definedName>
    <definedName name="_lb8" hidden="1">#REF!</definedName>
    <definedName name="_lb9" hidden="1">#REF!</definedName>
    <definedName name="_lbc1" hidden="1">#REF!</definedName>
    <definedName name="_lbc10" hidden="1">#REF!</definedName>
    <definedName name="_lbc11" hidden="1">#REF!</definedName>
    <definedName name="_lbc12" hidden="1">#REF!</definedName>
    <definedName name="_lbc13" hidden="1">#REF!</definedName>
    <definedName name="_lbc14" hidden="1">#REF!</definedName>
    <definedName name="_lbc15" hidden="1">#REF!</definedName>
    <definedName name="_lbc16" hidden="1">#REF!</definedName>
    <definedName name="_lbc17" hidden="1">#REF!</definedName>
    <definedName name="_lbc18" hidden="1">#REF!</definedName>
    <definedName name="_lbc19" hidden="1">#REF!</definedName>
    <definedName name="_lbc2" hidden="1">#REF!</definedName>
    <definedName name="_lbc20" hidden="1">#REF!</definedName>
    <definedName name="_lbc21" hidden="1">#REF!</definedName>
    <definedName name="_lbc22" hidden="1">#REF!</definedName>
    <definedName name="_lbc23" hidden="1">#REF!</definedName>
    <definedName name="_lbc24" hidden="1">#REF!</definedName>
    <definedName name="_lbc25" hidden="1">#REF!</definedName>
    <definedName name="_lbc26" hidden="1">#REF!</definedName>
    <definedName name="_lbc27" hidden="1">#REF!</definedName>
    <definedName name="_lbc28" hidden="1">#REF!</definedName>
    <definedName name="_lbc29" hidden="1">#REF!</definedName>
    <definedName name="_lbc3" hidden="1">#REF!</definedName>
    <definedName name="_lbc31" hidden="1">#REF!</definedName>
    <definedName name="_lbc32" hidden="1">#REF!</definedName>
    <definedName name="_lbc4" hidden="1">#REF!</definedName>
    <definedName name="_lbc5" hidden="1">#REF!</definedName>
    <definedName name="_lbc6" hidden="1">#REF!</definedName>
    <definedName name="_lbc7" hidden="1">#REF!</definedName>
    <definedName name="_lbc8" hidden="1">#REF!</definedName>
    <definedName name="_lbc9" hidden="1">#REF!</definedName>
    <definedName name="_ld26" hidden="1">#REF!</definedName>
    <definedName name="_ld31" hidden="1">#REF!</definedName>
    <definedName name="_le31" hidden="1">#REF!</definedName>
    <definedName name="_lf31" hidden="1">#REF!</definedName>
    <definedName name="_Order1" hidden="1">255</definedName>
    <definedName name="_Order2" hidden="1">255</definedName>
    <definedName name="_pv2">#REF!</definedName>
    <definedName name="_pv3">#REF!</definedName>
    <definedName name="_Regression_X" hidden="1">#REF!</definedName>
    <definedName name="_Ser200506">#REF!</definedName>
    <definedName name="_Ser200705">#REF!</definedName>
    <definedName name="_Ser200712">#REF!</definedName>
    <definedName name="_Sort" hidden="1">#REF!</definedName>
    <definedName name="_x10" hidden="1">#REF!</definedName>
    <definedName name="_x11" hidden="1">#REF!</definedName>
    <definedName name="_x12" hidden="1">#REF!</definedName>
    <definedName name="_x13" hidden="1">#REF!</definedName>
    <definedName name="_x14" hidden="1">#REF!</definedName>
    <definedName name="_x15" hidden="1">#REF!</definedName>
    <definedName name="_x16" hidden="1">#REF!</definedName>
    <definedName name="_x17" hidden="1">#REF!</definedName>
    <definedName name="_x18" hidden="1">#REF!</definedName>
    <definedName name="_x19" hidden="1">#REF!</definedName>
    <definedName name="_x20" hidden="1">#REF!</definedName>
    <definedName name="_x21" hidden="1">#REF!</definedName>
    <definedName name="_x22" hidden="1">#REF!</definedName>
    <definedName name="_x23" hidden="1">#REF!</definedName>
    <definedName name="_x24" hidden="1">#REF!</definedName>
    <definedName name="_x25" hidden="1">#REF!</definedName>
    <definedName name="_x28" hidden="1">#REF!</definedName>
    <definedName name="_x29" hidden="1">#REF!</definedName>
    <definedName name="_x32" hidden="1">#REF!</definedName>
    <definedName name="_x4" hidden="1">#REF!</definedName>
    <definedName name="_x5" hidden="1">#REF!</definedName>
    <definedName name="_x6" hidden="1">#REF!</definedName>
    <definedName name="_x7" hidden="1">#REF!</definedName>
    <definedName name="_x8" hidden="1">#REF!</definedName>
    <definedName name="_x9" hidden="1">#REF!</definedName>
    <definedName name="a">#REF!</definedName>
    <definedName name="A___SERVIÇOS_PRELIMINARES">#REF!</definedName>
    <definedName name="a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010160100">#REF!</definedName>
    <definedName name="A010505000">#REF!</definedName>
    <definedName name="A020200010">#REF!</definedName>
    <definedName name="A020200080">#REF!</definedName>
    <definedName name="A03.020.0851">#REF!</definedName>
    <definedName name="a03.021.0855">#REF!</definedName>
    <definedName name="A030130010">#REF!</definedName>
    <definedName name="A030130011">#REF!</definedName>
    <definedName name="A030160501">#REF!</definedName>
    <definedName name="A030250100">#REF!</definedName>
    <definedName name="A040050130">#REF!</definedName>
    <definedName name="A040110511">#REF!</definedName>
    <definedName name="A050150050">#REF!</definedName>
    <definedName name="A050200140">#REF!</definedName>
    <definedName name="A050210050">#REF!</definedName>
    <definedName name="A050210100">#REF!</definedName>
    <definedName name="A050210750">#REF!</definedName>
    <definedName name="a06.004.0320">#REF!</definedName>
    <definedName name="A060030500">#REF!</definedName>
    <definedName name="A060040300">#REF!</definedName>
    <definedName name="A060140120">#REF!</definedName>
    <definedName name="A060160120">#REF!</definedName>
    <definedName name="A060160410">#REF!</definedName>
    <definedName name="A080010030">#REF!</definedName>
    <definedName name="A080150100">#REF!</definedName>
    <definedName name="A080270120">#REF!</definedName>
    <definedName name="A150010310">#REF!</definedName>
    <definedName name="A200040031">#REF!</definedName>
    <definedName name="A200090011">#REF!</definedName>
    <definedName name="A200280200">#REF!</definedName>
    <definedName name="aaa" hidden="1">{#N/A,#N/A,FALSE,"Plan1";#N/A,#N/A,FALSE,"Plan2"}</definedName>
    <definedName name="aaaa">#REF!</definedName>
    <definedName name="aaaaa" hidden="1">{"tabela",#N/A,FALSE,"Tabela";"decoração",#N/A,FALSE,"Decor.";"Informações",#N/A,FALSE,"Inform."}</definedName>
    <definedName name="aaaaaaaaa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cccc" hidden="1">{#N/A,#N/A,FALSE,"Plan1";#N/A,#N/A,FALSE,"Plan2"}</definedName>
    <definedName name="ABCD">#REF!</definedName>
    <definedName name="Abrigo_moto_gerador_consulta">#REF!</definedName>
    <definedName name="AccessDatabase" hidden="1">"C:\LIXO\Novo\2001_Simulação ARA_MAR_MGA(Atual)(92MICXU)1.mdb"</definedName>
    <definedName name="Acesso_Estacao_01">#REF!</definedName>
    <definedName name="achar18" hidden="1">#REF!</definedName>
    <definedName name="achar19" hidden="1">#REF!</definedName>
    <definedName name="achart1" hidden="1">#REF!</definedName>
    <definedName name="achart10" hidden="1">#REF!</definedName>
    <definedName name="achart11" hidden="1">#REF!</definedName>
    <definedName name="achart12" hidden="1">#REF!</definedName>
    <definedName name="achart13" hidden="1">#REF!</definedName>
    <definedName name="achart14" hidden="1">#REF!</definedName>
    <definedName name="achart15" hidden="1">#REF!</definedName>
    <definedName name="achart16" hidden="1">#REF!</definedName>
    <definedName name="achart17" hidden="1">#REF!</definedName>
    <definedName name="achart2" hidden="1">#REF!</definedName>
    <definedName name="achart20" hidden="1">#REF!</definedName>
    <definedName name="achart21" hidden="1">#REF!</definedName>
    <definedName name="achart22" hidden="1">#REF!</definedName>
    <definedName name="achart23" hidden="1">#REF!</definedName>
    <definedName name="achart24" hidden="1">#REF!</definedName>
    <definedName name="achart25" hidden="1">#REF!</definedName>
    <definedName name="achart26" hidden="1">#REF!</definedName>
    <definedName name="achart27" hidden="1">#REF!</definedName>
    <definedName name="achart28" hidden="1">#REF!</definedName>
    <definedName name="achart29" hidden="1">#REF!</definedName>
    <definedName name="achart3" hidden="1">#REF!</definedName>
    <definedName name="achart30" hidden="1">#REF!</definedName>
    <definedName name="achart31" hidden="1">#REF!</definedName>
    <definedName name="achart32" hidden="1">#REF!</definedName>
    <definedName name="achart4" hidden="1">#REF!</definedName>
    <definedName name="achart5" hidden="1">#REF!</definedName>
    <definedName name="achart6" hidden="1">#REF!</definedName>
    <definedName name="achart7" hidden="1">#REF!</definedName>
    <definedName name="achart8" hidden="1">#REF!</definedName>
    <definedName name="achart9" hidden="1">#REF!</definedName>
    <definedName name="ACwvu.PLANILHA2." hidden="1">#REF!</definedName>
    <definedName name="adfv">#REF!</definedName>
    <definedName name="Administração">#REF!</definedName>
    <definedName name="AEWFDS" hidden="1">{#N/A,#N/A,FALSE,"Plan1";#N/A,#N/A,FALSE,"Plan2"}</definedName>
    <definedName name="alturadocorte">#REF!</definedName>
    <definedName name="ANA">#REF!</definedName>
    <definedName name="anscount" hidden="1">1</definedName>
    <definedName name="area" hidden="1">{#N/A,#N/A,FALSE,"Plan1";#N/A,#N/A,FALSE,"Plan2"}</definedName>
    <definedName name="_xlnm.Print_Area" localSheetId="0">CUSTO!$A$1:$Q$75</definedName>
    <definedName name="_xlnm.Print_Area">#REF!</definedName>
    <definedName name="AreaTeste">"#REF!"</definedName>
    <definedName name="AreaTeste_1">"#REF!"</definedName>
    <definedName name="AreaTeste_2">"#REF!"</definedName>
    <definedName name="AreaTeste2">"#REF!"</definedName>
    <definedName name="AreaTeste2_1">"#REF!"</definedName>
    <definedName name="AreaTeste2_2">"#REF!"</definedName>
    <definedName name="AS2DocOpenMode" hidden="1">"AS2DocumentEdit"</definedName>
    <definedName name="AS2NamedRange" hidden="1">15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B___SISTEMA_DE_MACRODRENAGEM">#REF!</definedName>
    <definedName name="b_1" hidden="1">{"'Índice'!$A$1:$K$49"}</definedName>
    <definedName name="BalType" hidden="1">TRUE</definedName>
    <definedName name="_xlnm.Database">#REF!</definedName>
    <definedName name="BASE">#REF!</definedName>
    <definedName name="bchar10" hidden="1">#REF!</definedName>
    <definedName name="bchart1" hidden="1">#REF!</definedName>
    <definedName name="bchart11" hidden="1">#REF!</definedName>
    <definedName name="bchart12" hidden="1">#REF!</definedName>
    <definedName name="bchart13" hidden="1">#REF!</definedName>
    <definedName name="bchart14" hidden="1">#REF!</definedName>
    <definedName name="bchart15" hidden="1">#REF!</definedName>
    <definedName name="bchart16" hidden="1">#REF!</definedName>
    <definedName name="bchart17" hidden="1">#REF!</definedName>
    <definedName name="bchart18" hidden="1">#REF!</definedName>
    <definedName name="bchart19" hidden="1">#REF!</definedName>
    <definedName name="bchart2" hidden="1">#REF!</definedName>
    <definedName name="bchart20" hidden="1">#REF!</definedName>
    <definedName name="bchart21" hidden="1">#REF!</definedName>
    <definedName name="bchart22" hidden="1">#REF!</definedName>
    <definedName name="bchart23" hidden="1">#REF!</definedName>
    <definedName name="bchart24" hidden="1">#REF!</definedName>
    <definedName name="bchart25" hidden="1">#REF!</definedName>
    <definedName name="bchart26" hidden="1">#REF!</definedName>
    <definedName name="bchart27" hidden="1">#REF!</definedName>
    <definedName name="bchart28" hidden="1">#REF!</definedName>
    <definedName name="bchart29" hidden="1">#REF!</definedName>
    <definedName name="bchart3" hidden="1">#REF!</definedName>
    <definedName name="bchart30" hidden="1">#REF!</definedName>
    <definedName name="bchart31" hidden="1">#REF!</definedName>
    <definedName name="bchart32" hidden="1">#REF!</definedName>
    <definedName name="bchart4" hidden="1">#REF!</definedName>
    <definedName name="bchart5" hidden="1">#REF!</definedName>
    <definedName name="bchart6" hidden="1">#REF!</definedName>
    <definedName name="bchart7" hidden="1">#REF!</definedName>
    <definedName name="bchart8" hidden="1">#REF!</definedName>
    <definedName name="bchart9" hidden="1">#REF!</definedName>
    <definedName name="BG_Del" hidden="1">15</definedName>
    <definedName name="BG_Ins" hidden="1">4</definedName>
    <definedName name="BG_Mod" hidden="1">6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2" hidden="1">#REF!</definedName>
    <definedName name="BLPH3" hidden="1">#REF!</definedName>
    <definedName name="BLPH4" hidden="1">#REF!</definedName>
    <definedName name="BLPH45" hidden="1">#REF!</definedName>
    <definedName name="BLPH46" hidden="1">#REF!</definedName>
    <definedName name="BLPH47" hidden="1">#REF!</definedName>
    <definedName name="BLPH48" hidden="1">#REF!</definedName>
    <definedName name="BLPH49" hidden="1">#REF!</definedName>
    <definedName name="BLPH5" hidden="1">#REF!</definedName>
    <definedName name="BLPH50" hidden="1">#REF!</definedName>
    <definedName name="BLPH51" hidden="1">#REF!</definedName>
    <definedName name="BLPH52" hidden="1">#REF!</definedName>
    <definedName name="BLPH53" hidden="1">#REF!</definedName>
    <definedName name="BLPH54" hidden="1">#REF!</definedName>
    <definedName name="BLPH55" hidden="1">#REF!</definedName>
    <definedName name="BLPH56" hidden="1">#REF!</definedName>
    <definedName name="BLPH57" hidden="1">#REF!</definedName>
    <definedName name="BLPH58" hidden="1">#REF!</definedName>
    <definedName name="BLPH59" hidden="1">#REF!</definedName>
    <definedName name="BLPH6" hidden="1">#REF!</definedName>
    <definedName name="BLPH60" hidden="1">#REF!</definedName>
    <definedName name="BLPH61" hidden="1">#REF!</definedName>
    <definedName name="BLPH62" hidden="1">#REF!</definedName>
    <definedName name="BLPH63" hidden="1">#REF!</definedName>
    <definedName name="BLPH64" hidden="1">#REF!</definedName>
    <definedName name="BLPH65" hidden="1">#REF!</definedName>
    <definedName name="BLPH66" hidden="1">#REF!</definedName>
    <definedName name="BLPH67" hidden="1">#REF!</definedName>
    <definedName name="BLPH68" hidden="1">#REF!</definedName>
    <definedName name="BLPH69" hidden="1">#REF!</definedName>
    <definedName name="BLPH7" hidden="1">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5" hidden="1">#REF!</definedName>
    <definedName name="BLPH76" hidden="1">#REF!</definedName>
    <definedName name="BLPH77" hidden="1">#REF!</definedName>
    <definedName name="BLPH78" hidden="1">#REF!</definedName>
    <definedName name="BLPH79" hidden="1">#REF!</definedName>
    <definedName name="BLPH8" hidden="1">#REF!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9" hidden="1">#REF!</definedName>
    <definedName name="botafora">#REF!</definedName>
    <definedName name="brita">#REF!</definedName>
    <definedName name="bstc20">#REF!</definedName>
    <definedName name="bstc40">#REF!</definedName>
    <definedName name="bstc60">#REF!</definedName>
    <definedName name="bstc80">#REF!</definedName>
    <definedName name="BuiltIn_Print_Titles">#REF!</definedName>
    <definedName name="C_">#REF!</definedName>
    <definedName name="C___SISTEMA_DE_ESGOTAMENTO_SANITÁRIO">#REF!</definedName>
    <definedName name="C_CUSTO">#REF!</definedName>
    <definedName name="caixadecentro">#REF!</definedName>
    <definedName name="CARLA" hidden="1">#REF!</definedName>
    <definedName name="Casa_de_maquinas">#REF!</definedName>
    <definedName name="CATALOGOS">#REF!</definedName>
    <definedName name="CBV" hidden="1">{#N/A,#N/A,FALSE,"Plan1";#N/A,#N/A,FALSE,"Plan2"}</definedName>
    <definedName name="CBWorkbookPriority" hidden="1">-1547598554</definedName>
    <definedName name="ççç" hidden="1">{#N/A,#N/A,FALSE,"Plan1";#N/A,#N/A,FALSE,"Plan2"}</definedName>
    <definedName name="cccc" hidden="1">{#N/A,#N/A,FALSE,"Plan1";#N/A,#N/A,FALSE,"Plan2"}</definedName>
    <definedName name="ççççççç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hart1" hidden="1">#REF!</definedName>
    <definedName name="cchart10" hidden="1">#REF!</definedName>
    <definedName name="cchart11" hidden="1">#REF!</definedName>
    <definedName name="cchart12" hidden="1">#REF!</definedName>
    <definedName name="cchart13" hidden="1">#REF!</definedName>
    <definedName name="cchart14" hidden="1">#REF!</definedName>
    <definedName name="cchart15" hidden="1">#REF!</definedName>
    <definedName name="cchart16" hidden="1">#REF!</definedName>
    <definedName name="cchart17" hidden="1">#REF!</definedName>
    <definedName name="cchart18" hidden="1">#REF!</definedName>
    <definedName name="cchart19" hidden="1">#REF!</definedName>
    <definedName name="cchart2" hidden="1">#REF!</definedName>
    <definedName name="cchart20" hidden="1">#REF!</definedName>
    <definedName name="cchart21" hidden="1">#REF!</definedName>
    <definedName name="cchart22" hidden="1">#REF!</definedName>
    <definedName name="cchart23" hidden="1">#REF!</definedName>
    <definedName name="cchart24" hidden="1">#REF!</definedName>
    <definedName name="cchart25" hidden="1">#REF!</definedName>
    <definedName name="cchart26" hidden="1">#REF!</definedName>
    <definedName name="cchart27" hidden="1">#REF!</definedName>
    <definedName name="cchart28" hidden="1">#REF!</definedName>
    <definedName name="cchart29" hidden="1">#REF!</definedName>
    <definedName name="cchart3" hidden="1">#REF!</definedName>
    <definedName name="cchart31" hidden="1">#REF!</definedName>
    <definedName name="cchart32" hidden="1">#REF!</definedName>
    <definedName name="cchart4" hidden="1">#REF!</definedName>
    <definedName name="cchart5" hidden="1">#REF!</definedName>
    <definedName name="cchart6" hidden="1">#REF!</definedName>
    <definedName name="cchart7" hidden="1">#REF!</definedName>
    <definedName name="cchart8" hidden="1">#REF!</definedName>
    <definedName name="cchart9" hidden="1">#REF!</definedName>
    <definedName name="CélulaInicioPlanilha">"#REF!"</definedName>
    <definedName name="CélulaInicioPlanilha_1">"#REF!"</definedName>
    <definedName name="CélulaInicioPlanilha_2">"#REF!"</definedName>
    <definedName name="CélulaResumo">"#REF!"</definedName>
    <definedName name="CélulaResumo_1">"#REF!"</definedName>
    <definedName name="CélulaResumo_2">"#REF!"</definedName>
    <definedName name="CERCA">#REF!</definedName>
    <definedName name="CISALHA">#REF!</definedName>
    <definedName name="Cisterna_e_Castelo_d_agua_Consulta">#REF!</definedName>
    <definedName name="CLASSIFICAÇÃO_TABELA">#REF!</definedName>
    <definedName name="CM">#REF!</definedName>
    <definedName name="cmm">#REF!</definedName>
    <definedName name="COMPRIM">#REF!</definedName>
    <definedName name="COMPRIM1">#REF!</definedName>
    <definedName name="comprimento">#REF!</definedName>
    <definedName name="CONCATENAR">CONCATENATE(#REF!," ",#REF!)</definedName>
    <definedName name="CONSOLIDADO">#REF!</definedName>
    <definedName name="Construcao_Casa_Maq_Plano_Inclinado">#REF!</definedName>
    <definedName name="Construcao_de_Acesso_a_Estacao_I">#REF!</definedName>
    <definedName name="Construcao_do_acesso_a_Estacao_I">#REF!</definedName>
    <definedName name="Construcao_Escadaria_Apoio">#REF!</definedName>
    <definedName name="Contencao">#REF!</definedName>
    <definedName name="Contencao_">#REF!</definedName>
    <definedName name="CORTE">#REF!</definedName>
    <definedName name="COTAÇÃO">#REF!</definedName>
    <definedName name="cronograma1">#REF!</definedName>
    <definedName name="CTE">#REF!</definedName>
    <definedName name="custoprod" hidden="1">{#N/A,#N/A,FALSE,"Brazil Summary";#N/A,#N/A,FALSE,"SEA CIF Summary";#N/A,#N/A,FALSE,"USGC Contract";#N/A,#N/A,FALSE,"USGC Spot";#N/A,#N/A,FALSE,"Brazil Base Cycle ";#N/A,#N/A,FALSE,"Brazil Base Trend";#N/A,#N/A,FALSE,"Brazil Low Cycle";#N/A,#N/A,FALSE,"Brazil Low Trend";#N/A,#N/A,FALSE,"Variables"}</definedName>
    <definedName name="C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">#REF!</definedName>
    <definedName name="D___PAVIMENTAÇÃO_E_DRENAGEM">#REF!</definedName>
    <definedName name="dados">#REF!</definedName>
    <definedName name="DATABASE">#REF!</definedName>
    <definedName name="DATAEMISSAO">#REF!</definedName>
    <definedName name="DATART">#REF!</definedName>
    <definedName name="DC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chart26" hidden="1">#REF!</definedName>
    <definedName name="dchart31" hidden="1">#REF!</definedName>
    <definedName name="d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ddd" hidden="1">{#N/A,#N/A,FALSE,"Plan1";#N/A,#N/A,FALSE,"Plan2"}</definedName>
    <definedName name="ddgfdvgd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em_Lavanderia">#REF!</definedName>
    <definedName name="Demolicao_de_Guarita_Consulta">#REF!</definedName>
    <definedName name="Demolicao_Lavanderia_Existente">#REF!</definedName>
    <definedName name="des" hidden="1">{#N/A,#N/A,FALSE,"Plan1";#N/A,#N/A,FALSE,"Plan2"}</definedName>
    <definedName name="desc" hidden="1">{#N/A,#N/A,FALSE,"Plan1";#N/A,#N/A,FALSE,"Plan2"}</definedName>
    <definedName name="DEZEMBRO06">#REF!</definedName>
    <definedName name="dggfdg" hidden="1">{#N/A,#N/A,FALSE,"Plan1";#N/A,#N/A,FALSE,"Plan2"}</definedName>
    <definedName name="DIAM">#REF!</definedName>
    <definedName name="Dren">#REF!</definedName>
    <definedName name="DRENAGEM">#REF!</definedName>
    <definedName name="dsd" hidden="1">"CAVD7SCWJ2AXAA0RJGKFLUFZV"</definedName>
    <definedName name="DVVB" hidden="1">{"tabela",#N/A,FALSE,"Tabela";"decoração",#N/A,FALSE,"Decor.";"Informações",#N/A,FALSE,"Inform."}</definedName>
    <definedName name="DXASD">#REF!</definedName>
    <definedName name="DXCZ" hidden="1">{#N/A,#N/A,FALSE,"Plan1";#N/A,#N/A,FALSE,"Plan2"}</definedName>
    <definedName name="E___URBANIZAÇÃO_E_PAISAGISMO">#REF!</definedName>
    <definedName name="echart31" hidden="1">#REF!</definedName>
    <definedName name="EEE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EEE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ELEMVS07">#REF!</definedName>
    <definedName name="Emop">#REF!</definedName>
    <definedName name="Emopc">#REF!</definedName>
    <definedName name="empolamento">#REF!</definedName>
    <definedName name="EMPRESAS">OFFSET(#REF!,0,0):OFFSET(#REF!,-1,0)</definedName>
    <definedName name="Escadaria">#REF!</definedName>
    <definedName name="ESCMAN">#REF!</definedName>
    <definedName name="ESG">#REF!</definedName>
    <definedName name="ESGOTO">#REF!</definedName>
    <definedName name="ESP">#REF!</definedName>
    <definedName name="ESSENCIAIS">#REF!</definedName>
    <definedName name="Estacao_01">#REF!</definedName>
    <definedName name="Estacao_02">#REF!</definedName>
    <definedName name="Estacao_03">#REF!</definedName>
    <definedName name="Estacao_04">#REF!</definedName>
    <definedName name="Estacao_05">#REF!</definedName>
    <definedName name="etapa1">#REF!</definedName>
    <definedName name="etapa2">#REF!</definedName>
    <definedName name="etapa3">#REF!</definedName>
    <definedName name="etapa4">#REF!</definedName>
    <definedName name="etapa5">#REF!</definedName>
    <definedName name="etapa6">#REF!</definedName>
    <definedName name="etapa7">#REF!</definedName>
    <definedName name="Excel_BuiltIn__FilterDatabase_4">#REF!</definedName>
    <definedName name="Excel_BuiltIn__FilterDatabase_5">#REF!</definedName>
    <definedName name="Excel_BuiltIn__FilterDatabase_6">#REF!</definedName>
    <definedName name="Excel_BuiltIn__FilterDatabase_8">#REF!</definedName>
    <definedName name="Excel_BuiltIn__FilterDatabase_8_3">#REF!</definedName>
    <definedName name="Excel_BuiltIn__FilterDatabase_9">#REF!</definedName>
    <definedName name="Excel_BuiltIn_Database">#REF!</definedName>
    <definedName name="Excel_BuiltIn_Database_6">#REF!</definedName>
    <definedName name="Execucao_Fundacoes_Plano_Inclinado">#REF!</definedName>
    <definedName name="EXT">#REF!</definedName>
    <definedName name="EXT_3">#REF!</definedName>
    <definedName name="EXT_6">#REF!</definedName>
    <definedName name="f" hidden="1">#REF!</definedName>
    <definedName name="F___SERVIÇOS_DE_ILUMINAÇÃO_PÚBLICA">#REF!</definedName>
    <definedName name="fchart31" hidden="1">#REF!</definedName>
    <definedName name="fdgaf" hidden="1">{#N/A,#N/A,FALSE,"Plan1";#N/A,#N/A,FALSE,"Plan2"}</definedName>
    <definedName name="fdhgfdf" hidden="1">{#N/A,#N/A,FALSE,"Plan1";#N/A,#N/A,FALSE,"Plan2"}</definedName>
    <definedName name="FDS" hidden="1">{#N/A,#N/A,FALSE,"Plan1";#N/A,#N/A,FALSE,"Plan2"}</definedName>
    <definedName name="fff" hidden="1">#REF!</definedName>
    <definedName name="fffff" hidden="1">{#N/A,#N/A,FALSE,"Plan1";#N/A,#N/A,FALSE,"Plan2"}</definedName>
    <definedName name="FG" hidden="1">{#N/A,#N/A,FALSE,"Plan1";#N/A,#N/A,FALSE,"Plan2"}</definedName>
    <definedName name="FGJHFGK" hidden="1">{#N/A,#N/A,FALSE,"Plan1";#N/A,#N/A,FALSE,"Plan2"}</definedName>
    <definedName name="fin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JG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hidden="1">{#N/A,#N/A,FALSE,"Plan1";#N/A,#N/A,FALSE,"Plan2"}</definedName>
    <definedName name="Fundacao_Plano_Inclinado">#REF!</definedName>
    <definedName name="G___SISTEMA_DE_ABASTECIMENTO_DE_ÁGUA">#REF!</definedName>
    <definedName name="gdgdg" hidden="1">{#N/A,#N/A,FALSE,"Brazil Summary";#N/A,#N/A,FALSE,"SEA CIF Summary";#N/A,#N/A,FALSE,"USGC Contract";#N/A,#N/A,FALSE,"USGC Spot";#N/A,#N/A,FALSE,"Brazil Base Cycle ";#N/A,#N/A,FALSE,"Brazil Base Trend";#N/A,#N/A,FALSE,"Brazil Low Cycle";#N/A,#N/A,FALSE,"Brazil Low Trend";#N/A,#N/A,FALSE,"Variables"}</definedName>
    <definedName name="ggggggggg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JESRXDTG" hidden="1">{#N/A,#N/A,FALSE,"Plan1";#N/A,#N/A,FALSE,"Plan2"}</definedName>
    <definedName name="GNNMJ" hidden="1">{"tabela",#N/A,FALSE,"Tabela";"decoração",#N/A,FALSE,"Decor.";"Informações",#N/A,FALSE,"Inform."}</definedName>
    <definedName name="GrpAcct1" hidden="1">"5611"</definedName>
    <definedName name="GrpAcct2" hidden="1">"5612"</definedName>
    <definedName name="GrpLevel" hidden="1">2</definedName>
    <definedName name="HJ" hidden="1">{#N/A,#N/A,FALSE,"Plan1";#N/A,#N/A,FALSE,"Plan2"}</definedName>
    <definedName name="HTML_CodePage" hidden="1">1252</definedName>
    <definedName name="HTML_Control" hidden="1">{"'Índice'!$A$1:$K$49"}</definedName>
    <definedName name="HTML_Control_1" hidden="1">{"'Índice'!$A$1:$K$49"}</definedName>
    <definedName name="HTML_Description" hidden="1">""</definedName>
    <definedName name="HTML_Email" hidden="1">""</definedName>
    <definedName name="HTML_Header" hidden="1">"Índice"</definedName>
    <definedName name="HTML_LastUpdate" hidden="1">"12/08/1999"</definedName>
    <definedName name="HTML_LineAfter" hidden="1">FALSE</definedName>
    <definedName name="HTML_LineBefore" hidden="1">FALSE</definedName>
    <definedName name="HTML_Name" hidden="1">"Rodovia das Cataratas"</definedName>
    <definedName name="HTML_OBDlg2" hidden="1">TRUE</definedName>
    <definedName name="HTML_OBDlg4" hidden="1">TRUE</definedName>
    <definedName name="HTML_OS" hidden="1">0</definedName>
    <definedName name="HTML_PathFile" hidden="1">"\\Server_1\sig\07 Julho\Informe\MeuHTML.htm"</definedName>
    <definedName name="HTML_PathFileMac" hidden="1">"Macintosh HD:HomePageStuff:New_Home_Page:datafile:ctryprem.html"</definedName>
    <definedName name="HTML_Title" hidden="1">"Gerência de Administração e Controle de Gestão"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2</definedName>
    <definedName name="IÇOLJ" hidden="1">{"tabela",#N/A,FALSE,"Tabela";"decoração",#N/A,FALSE,"Decor.";"Informações",#N/A,FALSE,"Inform."}</definedName>
    <definedName name="iiiiiiiiiiiiiiiiiiiiiiii" hidden="1">#REF!</definedName>
    <definedName name="Implantacao_Consulta">#REF!</definedName>
    <definedName name="impre">#REF!</definedName>
    <definedName name="INDICES">#REF!:OFFSET(#REF!,-1,0)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"c413"</definedName>
    <definedName name="IQ_ACCOUNTING_STANDARD" hidden="1">"c4539"</definedName>
    <definedName name="IQ_ACCOUNTING_STANDARD_CIQ" hidden="1">"c5092"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REUT" hidden="1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NO" hidden="1">"c4454"</definedName>
    <definedName name="IQ_AVG_INDUSTRY_REC_NO_CIQ" hidden="1">"c4983"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"c65"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_UNUSED_UNUSED" hidden="1">"c8135"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EST_CIQ" hidden="1">"c4541"</definedName>
    <definedName name="IQ_BASIC_OUTSTANDING_CURRENT_HIGH_EST" hidden="1">"c4129"</definedName>
    <definedName name="IQ_BASIC_OUTSTANDING_CURRENT_HIGH_EST_CIQ" hidden="1">"c4542"</definedName>
    <definedName name="IQ_BASIC_OUTSTANDING_CURRENT_LOW_EST" hidden="1">"c4130"</definedName>
    <definedName name="IQ_BASIC_OUTSTANDING_CURRENT_LOW_EST_CIQ" hidden="1">"c4543"</definedName>
    <definedName name="IQ_BASIC_OUTSTANDING_CURRENT_MEDIAN_EST" hidden="1">"c4131"</definedName>
    <definedName name="IQ_BASIC_OUTSTANDING_CURRENT_MEDIAN_EST_CIQ" hidden="1">"c4544"</definedName>
    <definedName name="IQ_BASIC_OUTSTANDING_CURRENT_NUM_EST" hidden="1">"c4132"</definedName>
    <definedName name="IQ_BASIC_OUTSTANDING_CURRENT_NUM_EST_CIQ" hidden="1">"c4545"</definedName>
    <definedName name="IQ_BASIC_OUTSTANDING_CURRENT_STDDEV_EST" hidden="1">"c4133"</definedName>
    <definedName name="IQ_BASIC_OUTSTANDING_CURRENT_STDDEV_EST_CIQ" hidden="1">"c4546"</definedName>
    <definedName name="IQ_BASIC_OUTSTANDING_EST" hidden="1">"c4134"</definedName>
    <definedName name="IQ_BASIC_OUTSTANDING_EST_CIQ" hidden="1">"c4547"</definedName>
    <definedName name="IQ_BASIC_OUTSTANDING_HIGH_EST" hidden="1">"c4135"</definedName>
    <definedName name="IQ_BASIC_OUTSTANDING_HIGH_EST_CIQ" hidden="1">"c4548"</definedName>
    <definedName name="IQ_BASIC_OUTSTANDING_LOW_EST" hidden="1">"c4136"</definedName>
    <definedName name="IQ_BASIC_OUTSTANDING_LOW_EST_CIQ" hidden="1">"c4549"</definedName>
    <definedName name="IQ_BASIC_OUTSTANDING_MEDIAN_EST" hidden="1">"c4137"</definedName>
    <definedName name="IQ_BASIC_OUTSTANDING_MEDIAN_EST_CIQ" hidden="1">"c4550"</definedName>
    <definedName name="IQ_BASIC_OUTSTANDING_NUM_EST" hidden="1">"c4138"</definedName>
    <definedName name="IQ_BASIC_OUTSTANDING_NUM_EST_CIQ" hidden="1">"c4551"</definedName>
    <definedName name="IQ_BASIC_OUTSTANDING_STDDEV_EST" hidden="1">"c4139"</definedName>
    <definedName name="IQ_BASIC_OUTSTANDING_STDDEV_EST_CIQ" hidden="1">"c4552"</definedName>
    <definedName name="IQ_BASIC_WEIGHT" hidden="1">"c87"</definedName>
    <definedName name="IQ_BASIC_WEIGHT_EST" hidden="1">"c4140"</definedName>
    <definedName name="IQ_BASIC_WEIGHT_EST_CIQ" hidden="1">"c4553"</definedName>
    <definedName name="IQ_BASIC_WEIGHT_GUIDANCE" hidden="1">"c4141"</definedName>
    <definedName name="IQ_BASIC_WEIGHT_HIGH_EST" hidden="1">"c4142"</definedName>
    <definedName name="IQ_BASIC_WEIGHT_HIGH_EST_CIQ" hidden="1">"c4554"</definedName>
    <definedName name="IQ_BASIC_WEIGHT_LOW_EST" hidden="1">"c4143"</definedName>
    <definedName name="IQ_BASIC_WEIGHT_LOW_EST_CIQ" hidden="1">"c4555"</definedName>
    <definedName name="IQ_BASIC_WEIGHT_MEDIAN_EST" hidden="1">"c4144"</definedName>
    <definedName name="IQ_BASIC_WEIGHT_MEDIAN_EST_CIQ" hidden="1">"c4556"</definedName>
    <definedName name="IQ_BASIC_WEIGHT_NUM_EST" hidden="1">"c4145"</definedName>
    <definedName name="IQ_BASIC_WEIGHT_NUM_EST_CIQ" hidden="1">"c4557"</definedName>
    <definedName name="IQ_BASIC_WEIGHT_STDDEV_EST" hidden="1">"c4146"</definedName>
    <definedName name="IQ_BASIC_WEIGHT_STDDEV_EST_CIQ" hidden="1">"c4558"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CIQ" hidden="1">"c5068"</definedName>
    <definedName name="IQ_BV_EST" hidden="1">"c5624"</definedName>
    <definedName name="IQ_BV_EST_CIQ" hidden="1">"c4737"</definedName>
    <definedName name="IQ_BV_HIGH_EST" hidden="1">"c5626"</definedName>
    <definedName name="IQ_BV_HIGH_EST_CIQ" hidden="1">"c4739"</definedName>
    <definedName name="IQ_BV_LOW_EST" hidden="1">"c5627"</definedName>
    <definedName name="IQ_BV_LOW_EST_CIQ" hidden="1">"c4740"</definedName>
    <definedName name="IQ_BV_MEDIAN_EST" hidden="1">"c5625"</definedName>
    <definedName name="IQ_BV_MEDIAN_EST_CIQ" hidden="1">"c4738"</definedName>
    <definedName name="IQ_BV_NUM_EST" hidden="1">"c5628"</definedName>
    <definedName name="IQ_BV_NUM_EST_CIQ" hidden="1">"c4741"</definedName>
    <definedName name="IQ_BV_OVER_SHARES" hidden="1">"c100"</definedName>
    <definedName name="IQ_BV_SHARE" hidden="1">"c100"</definedName>
    <definedName name="IQ_BV_SHARE_ACT_OR_EST" hidden="1">"c3587"</definedName>
    <definedName name="IQ_BV_SHARE_ACT_OR_EST_CIQ" hidden="1">"c5072"</definedName>
    <definedName name="IQ_BV_SHARE_EST" hidden="1">"c3541"</definedName>
    <definedName name="IQ_BV_SHARE_EST_CIQ" hidden="1">"c3800"</definedName>
    <definedName name="IQ_BV_SHARE_HIGH_EST" hidden="1">"c3542"</definedName>
    <definedName name="IQ_BV_SHARE_HIGH_EST_CIQ" hidden="1">"c3802"</definedName>
    <definedName name="IQ_BV_SHARE_LOW_EST" hidden="1">"c3543"</definedName>
    <definedName name="IQ_BV_SHARE_LOW_EST_CIQ" hidden="1">"c3803"</definedName>
    <definedName name="IQ_BV_SHARE_MEDIAN_EST" hidden="1">"c3544"</definedName>
    <definedName name="IQ_BV_SHARE_MEDIAN_EST_CIQ" hidden="1">"c3801"</definedName>
    <definedName name="IQ_BV_SHARE_NUM_EST" hidden="1">"c3539"</definedName>
    <definedName name="IQ_BV_SHARE_NUM_EST_CIQ" hidden="1">"c3804"</definedName>
    <definedName name="IQ_BV_SHARE_STDDEV_EST" hidden="1">"c3540"</definedName>
    <definedName name="IQ_BV_SHARE_STDDEV_EST_CIQ" hidden="1">"c3805"</definedName>
    <definedName name="IQ_BV_STDDEV_EST" hidden="1">"c5629"</definedName>
    <definedName name="IQ_BV_STDDEV_EST_CIQ" hidden="1">"c4742"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REUT" hidden="1">"c6800"</definedName>
    <definedName name="IQ_CAL_Y" hidden="1">"c102"</definedName>
    <definedName name="IQ_CAL_Y_EST" hidden="1">"c6797"</definedName>
    <definedName name="IQ_CAL_Y_EST_CIQ" hidden="1">"c6809"</definedName>
    <definedName name="IQ_CAL_Y_EST_REUT" hidden="1">"c6801"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CIQ" hidden="1">"c5071"</definedName>
    <definedName name="IQ_CAPEX_BNK" hidden="1">"c110"</definedName>
    <definedName name="IQ_CAPEX_BR" hidden="1">"c111"</definedName>
    <definedName name="IQ_CAPEX_EST" hidden="1">"c3523"</definedName>
    <definedName name="IQ_CAPEX_EST_CIQ" hidden="1">"c3807"</definedName>
    <definedName name="IQ_CAPEX_FIN" hidden="1">"c112"</definedName>
    <definedName name="IQ_CAPEX_GUIDANCE" hidden="1">"c4150"</definedName>
    <definedName name="IQ_CAPEX_GUIDANCE_CIQ" hidden="1">"c4562"</definedName>
    <definedName name="IQ_CAPEX_HIGH_EST" hidden="1">"c3524"</definedName>
    <definedName name="IQ_CAPEX_HIGH_EST_CIQ" hidden="1">"c3809"</definedName>
    <definedName name="IQ_CAPEX_HIGH_GUIDANCE" hidden="1">"c4180"</definedName>
    <definedName name="IQ_CAPEX_HIGH_GUIDANCE_CIQ" hidden="1">"c4592"</definedName>
    <definedName name="IQ_CAPEX_INS" hidden="1">"c113"</definedName>
    <definedName name="IQ_CAPEX_LOW_EST" hidden="1">"c3525"</definedName>
    <definedName name="IQ_CAPEX_LOW_EST_CIQ" hidden="1">"c3810"</definedName>
    <definedName name="IQ_CAPEX_LOW_GUIDANCE" hidden="1">"c4220"</definedName>
    <definedName name="IQ_CAPEX_LOW_GUIDANCE_CIQ" hidden="1">"c4632"</definedName>
    <definedName name="IQ_CAPEX_MEDIAN_EST" hidden="1">"c3526"</definedName>
    <definedName name="IQ_CAPEX_MEDIAN_EST_CIQ" hidden="1">"c3808"</definedName>
    <definedName name="IQ_CAPEX_NUM_EST" hidden="1">"c3521"</definedName>
    <definedName name="IQ_CAPEX_NUM_EST_CIQ" hidden="1">"c3811"</definedName>
    <definedName name="IQ_CAPEX_STDDEV_EST" hidden="1">"c3522"</definedName>
    <definedName name="IQ_CAPEX_STDDEV_EST_CIQ" hidden="1">"c3812"</definedName>
    <definedName name="IQ_CAPEX_UTI" hidden="1">"c114"</definedName>
    <definedName name="IQ_CAPITAL_LEASE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"c118"</definedName>
    <definedName name="IQ_CASH_ACQUIRE_CF" hidden="1">"c1630"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"c118"</definedName>
    <definedName name="IQ_CASH_EPS_ACT_OR_EST" hidden="1">"c5638"</definedName>
    <definedName name="IQ_CASH_EPS_EST" hidden="1">"c5631"</definedName>
    <definedName name="IQ_CASH_EPS_HIGH_EST" hidden="1">"c5633"</definedName>
    <definedName name="IQ_CASH_EPS_LOW_EST" hidden="1">"c5634"</definedName>
    <definedName name="IQ_CASH_EPS_MEDIAN_EST" hidden="1">"c5632"</definedName>
    <definedName name="IQ_CASH_EPS_NUM_EST" hidden="1">"c5635"</definedName>
    <definedName name="IQ_CASH_EPS_STDDEV_EST" hidden="1">"c5636"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EST" hidden="1">"c4153"</definedName>
    <definedName name="IQ_CASH_FLOW_EST_CIQ" hidden="1">"c4565"</definedName>
    <definedName name="IQ_CASH_FLOW_GUIDANCE" hidden="1">"c4155"</definedName>
    <definedName name="IQ_CASH_FLOW_GUIDANCE_CIQ" hidden="1">"c4567"</definedName>
    <definedName name="IQ_CASH_FLOW_HIGH_EST" hidden="1">"c4156"</definedName>
    <definedName name="IQ_CASH_FLOW_HIGH_EST_CIQ" hidden="1">"c4568"</definedName>
    <definedName name="IQ_CASH_FLOW_HIGH_GUIDANCE" hidden="1">"c4201"</definedName>
    <definedName name="IQ_CASH_FLOW_HIGH_GUIDANCE_CIQ" hidden="1">"c4613"</definedName>
    <definedName name="IQ_CASH_FLOW_LOW_EST" hidden="1">"c4157"</definedName>
    <definedName name="IQ_CASH_FLOW_LOW_EST_CIQ" hidden="1">"c4569"</definedName>
    <definedName name="IQ_CASH_FLOW_LOW_GUIDANCE" hidden="1">"c4241"</definedName>
    <definedName name="IQ_CASH_FLOW_LOW_GUIDANCE_CIQ" hidden="1">"c4653"</definedName>
    <definedName name="IQ_CASH_FLOW_MEDIAN_EST" hidden="1">"c4158"</definedName>
    <definedName name="IQ_CASH_FLOW_MEDIAN_EST_CIQ" hidden="1">"c4570"</definedName>
    <definedName name="IQ_CASH_FLOW_NUM_EST" hidden="1">"c4159"</definedName>
    <definedName name="IQ_CASH_FLOW_NUM_EST_CIQ" hidden="1">"c4571"</definedName>
    <definedName name="IQ_CASH_FLOW_STDDEV_EST" hidden="1">"c4160"</definedName>
    <definedName name="IQ_CASH_FLOW_STDDEV_EST_CIQ" hidden="1">"c4572"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EST" hidden="1">"c4163"</definedName>
    <definedName name="IQ_CASH_OPER_EST_CIQ" hidden="1">"c4575"</definedName>
    <definedName name="IQ_CASH_OPER_GUIDANCE" hidden="1">"c4165"</definedName>
    <definedName name="IQ_CASH_OPER_GUIDANCE_CIQ" hidden="1">"c4577"</definedName>
    <definedName name="IQ_CASH_OPER_HIGH_EST" hidden="1">"c4166"</definedName>
    <definedName name="IQ_CASH_OPER_HIGH_EST_CIQ" hidden="1">"c4578"</definedName>
    <definedName name="IQ_CASH_OPER_HIGH_GUIDANCE" hidden="1">"c4185"</definedName>
    <definedName name="IQ_CASH_OPER_HIGH_GUIDANCE_CIQ" hidden="1">"c4597"</definedName>
    <definedName name="IQ_CASH_OPER_LOW_EST" hidden="1">"c4244"</definedName>
    <definedName name="IQ_CASH_OPER_LOW_EST_CIQ" hidden="1">"c4768"</definedName>
    <definedName name="IQ_CASH_OPER_LOW_GUIDANCE" hidden="1">"c4225"</definedName>
    <definedName name="IQ_CASH_OPER_LOW_GUIDANCE_CIQ" hidden="1">"c4637"</definedName>
    <definedName name="IQ_CASH_OPER_MEDIAN_EST" hidden="1">"c4245"</definedName>
    <definedName name="IQ_CASH_OPER_MEDIAN_EST_CIQ" hidden="1">"c4771"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NUM_EST_CIQ" hidden="1">"c4772"</definedName>
    <definedName name="IQ_CASH_OPER_STDDEV_EST" hidden="1">"c4247"</definedName>
    <definedName name="IQ_CASH_OPER_STDDEV_EST_CIQ" hidden="1">"c4773"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ST_INVEST_EST" hidden="1">"c4249"</definedName>
    <definedName name="IQ_CASH_ST_INVEST_EST_CIQ" hidden="1">"c4775"</definedName>
    <definedName name="IQ_CASH_ST_INVEST_GUIDANCE" hidden="1">"c4250"</definedName>
    <definedName name="IQ_CASH_ST_INVEST_GUIDANCE_CIQ" hidden="1">"c4776"</definedName>
    <definedName name="IQ_CASH_ST_INVEST_HIGH_EST" hidden="1">"c4251"</definedName>
    <definedName name="IQ_CASH_ST_INVEST_HIGH_EST_CIQ" hidden="1">"c4777"</definedName>
    <definedName name="IQ_CASH_ST_INVEST_HIGH_GUIDANCE" hidden="1">"c4195"</definedName>
    <definedName name="IQ_CASH_ST_INVEST_HIGH_GUIDANCE_CIQ" hidden="1">"c4607"</definedName>
    <definedName name="IQ_CASH_ST_INVEST_LOW_EST" hidden="1">"c4252"</definedName>
    <definedName name="IQ_CASH_ST_INVEST_LOW_EST_CIQ" hidden="1">"c4778"</definedName>
    <definedName name="IQ_CASH_ST_INVEST_LOW_GUIDANCE" hidden="1">"c4235"</definedName>
    <definedName name="IQ_CASH_ST_INVEST_LOW_GUIDANCE_CIQ" hidden="1">"c4647"</definedName>
    <definedName name="IQ_CASH_ST_INVEST_MEDIAN_EST" hidden="1">"c4253"</definedName>
    <definedName name="IQ_CASH_ST_INVEST_MEDIAN_EST_CIQ" hidden="1">"c4779"</definedName>
    <definedName name="IQ_CASH_ST_INVEST_NUM_EST" hidden="1">"c4254"</definedName>
    <definedName name="IQ_CASH_ST_INVEST_NUM_EST_CIQ" hidden="1">"c4780"</definedName>
    <definedName name="IQ_CASH_ST_INVEST_STDDEV_EST" hidden="1">"c4255"</definedName>
    <definedName name="IQ_CASH_ST_INVEST_STDDEV_EST_CIQ" hidden="1">"c4781"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CIQ" hidden="1">"c5061"</definedName>
    <definedName name="IQ_CFPS_EST" hidden="1">"c1667"</definedName>
    <definedName name="IQ_CFPS_EST_CIQ" hidden="1">"c3675"</definedName>
    <definedName name="IQ_CFPS_GUIDANCE" hidden="1">"c4256"</definedName>
    <definedName name="IQ_CFPS_GUIDANCE_CIQ" hidden="1">"c4782"</definedName>
    <definedName name="IQ_CFPS_HIGH_EST" hidden="1">"c1669"</definedName>
    <definedName name="IQ_CFPS_HIGH_EST_CIQ" hidden="1">"c3677"</definedName>
    <definedName name="IQ_CFPS_HIGH_GUIDANCE" hidden="1">"c4167"</definedName>
    <definedName name="IQ_CFPS_HIGH_GUIDANCE_CIQ" hidden="1">"c4579"</definedName>
    <definedName name="IQ_CFPS_LOW_EST" hidden="1">"c1670"</definedName>
    <definedName name="IQ_CFPS_LOW_EST_CIQ" hidden="1">"c3678"</definedName>
    <definedName name="IQ_CFPS_LOW_GUIDANCE" hidden="1">"c4207"</definedName>
    <definedName name="IQ_CFPS_LOW_GUIDANCE_CIQ" hidden="1">"c4619"</definedName>
    <definedName name="IQ_CFPS_MEDIAN_EST" hidden="1">"c1668"</definedName>
    <definedName name="IQ_CFPS_MEDIAN_EST_CIQ" hidden="1">"c3676"</definedName>
    <definedName name="IQ_CFPS_NUM_EST" hidden="1">"c1671"</definedName>
    <definedName name="IQ_CFPS_NUM_EST_CIQ" hidden="1">"c3679"</definedName>
    <definedName name="IQ_CFPS_STDDEV_EST" hidden="1">"c1672"</definedName>
    <definedName name="IQ_CFPS_STDDEV_EST_CIQ" hidden="1">"c3680"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_UNUSED_UNUSED" hidden="1">"c8280"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_UNUSED_UNUSED" hidden="1">"c7947"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_UNUSED_UNUSED" hidden="1">"c8167"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BT_ADJ" hidden="1">"c2515"</definedName>
    <definedName name="IQ_DEBT_ADJ_PCT" hidden="1">"c2516"</definedName>
    <definedName name="IQ_DEBT_EQUITY_EST" hidden="1">"c4257"</definedName>
    <definedName name="IQ_DEBT_EQUITY_EST_CIQ" hidden="1">"c4783"</definedName>
    <definedName name="IQ_DEBT_EQUITY_HIGH_EST" hidden="1">"c4258"</definedName>
    <definedName name="IQ_DEBT_EQUITY_HIGH_EST_CIQ" hidden="1">"c4784"</definedName>
    <definedName name="IQ_DEBT_EQUITY_LOW_EST" hidden="1">"c4259"</definedName>
    <definedName name="IQ_DEBT_EQUITY_LOW_EST_CIQ" hidden="1">"c4785"</definedName>
    <definedName name="IQ_DEBT_EQUITY_MEDIAN_EST" hidden="1">"c4260"</definedName>
    <definedName name="IQ_DEBT_EQUITY_MEDIAN_EST_CIQ" hidden="1">"c4786"</definedName>
    <definedName name="IQ_DEBT_EQUITY_NUM_EST" hidden="1">"c4261"</definedName>
    <definedName name="IQ_DEBT_EQUITY_NUM_EST_CIQ" hidden="1">"c4787"</definedName>
    <definedName name="IQ_DEBT_EQUITY_STDDEV_EST" hidden="1">"c4262"</definedName>
    <definedName name="IQ_DEBT_EQUITY_STDDEV_EST_CIQ" hidden="1">"c4788"</definedName>
    <definedName name="IQ_DEBT_EQUIV_NET_PBO" hidden="1">"c2938"</definedName>
    <definedName name="IQ_DEBT_EQUIV_OPER_LEASE" hidden="1">"c2935"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SCRIPTION_LONG" hidden="1">"c322"</definedName>
    <definedName name="IQ_DEVELOP_LAND" hidden="1">"c323"</definedName>
    <definedName name="IQ_DIFF_LASTCLOSE_TARGET_PRICE" hidden="1">"c1854"</definedName>
    <definedName name="IQ_DIFF_LASTCLOSE_TARGET_PRICE_CIQ" hidden="1">"c4767"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EST_CIQ" hidden="1">"c4789"</definedName>
    <definedName name="IQ_DILUT_OUTSTANDING_CURRENT_HIGH_EST" hidden="1">"c4264"</definedName>
    <definedName name="IQ_DILUT_OUTSTANDING_CURRENT_HIGH_EST_CIQ" hidden="1">"c4790"</definedName>
    <definedName name="IQ_DILUT_OUTSTANDING_CURRENT_LOW_EST" hidden="1">"c4265"</definedName>
    <definedName name="IQ_DILUT_OUTSTANDING_CURRENT_LOW_EST_CIQ" hidden="1">"c4791"</definedName>
    <definedName name="IQ_DILUT_OUTSTANDING_CURRENT_MEDIAN_EST" hidden="1">"c4266"</definedName>
    <definedName name="IQ_DILUT_OUTSTANDING_CURRENT_MEDIAN_EST_CIQ" hidden="1">"c4792"</definedName>
    <definedName name="IQ_DILUT_OUTSTANDING_CURRENT_NUM_EST" hidden="1">"c4267"</definedName>
    <definedName name="IQ_DILUT_OUTSTANDING_CURRENT_NUM_EST_CIQ" hidden="1">"c4793"</definedName>
    <definedName name="IQ_DILUT_OUTSTANDING_CURRENT_STDDEV_EST" hidden="1">"c4268"</definedName>
    <definedName name="IQ_DILUT_OUTSTANDING_CURRENT_STDDEV_EST_CIQ" hidden="1">"c4794"</definedName>
    <definedName name="IQ_DILUT_WEIGHT" hidden="1">"c326"</definedName>
    <definedName name="IQ_DILUT_WEIGHT_EST" hidden="1">"c4269"</definedName>
    <definedName name="IQ_DILUT_WEIGHT_EST_CIQ" hidden="1">"c4795"</definedName>
    <definedName name="IQ_DILUT_WEIGHT_GUIDANCE" hidden="1">"c4270"</definedName>
    <definedName name="IQ_DILUT_WEIGHT_HIGH_EST" hidden="1">"c4271"</definedName>
    <definedName name="IQ_DILUT_WEIGHT_HIGH_EST_CIQ" hidden="1">"c4796"</definedName>
    <definedName name="IQ_DILUT_WEIGHT_LOW_EST" hidden="1">"c4272"</definedName>
    <definedName name="IQ_DILUT_WEIGHT_LOW_EST_CIQ" hidden="1">"c4797"</definedName>
    <definedName name="IQ_DILUT_WEIGHT_MEDIAN_EST" hidden="1">"c4273"</definedName>
    <definedName name="IQ_DILUT_WEIGHT_MEDIAN_EST_CIQ" hidden="1">"c4798"</definedName>
    <definedName name="IQ_DILUT_WEIGHT_NUM_EST" hidden="1">"c4274"</definedName>
    <definedName name="IQ_DILUT_WEIGHT_NUM_EST_CIQ" hidden="1">"c4799"</definedName>
    <definedName name="IQ_DILUT_WEIGHT_STDDEV_EST" hidden="1">"c4275"</definedName>
    <definedName name="IQ_DILUT_WEIGHT_STDDEV_EST_CIQ" hidden="1">"c4800"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EST" hidden="1">"c4277"</definedName>
    <definedName name="IQ_DISTRIBUTABLE_CASH_EST_CIQ" hidden="1">"c4802"</definedName>
    <definedName name="IQ_DISTRIBUTABLE_CASH_GUIDANCE" hidden="1">"c4279"</definedName>
    <definedName name="IQ_DISTRIBUTABLE_CASH_GUIDANCE_CIQ" hidden="1">"c4804"</definedName>
    <definedName name="IQ_DISTRIBUTABLE_CASH_HIGH_EST" hidden="1">"c4280"</definedName>
    <definedName name="IQ_DISTRIBUTABLE_CASH_HIGH_EST_CIQ" hidden="1">"c4805"</definedName>
    <definedName name="IQ_DISTRIBUTABLE_CASH_HIGH_GUIDANCE" hidden="1">"c4198"</definedName>
    <definedName name="IQ_DISTRIBUTABLE_CASH_HIGH_GUIDANCE_CIQ" hidden="1">"c4610"</definedName>
    <definedName name="IQ_DISTRIBUTABLE_CASH_LOW_EST" hidden="1">"c4281"</definedName>
    <definedName name="IQ_DISTRIBUTABLE_CASH_LOW_EST_CIQ" hidden="1">"c4806"</definedName>
    <definedName name="IQ_DISTRIBUTABLE_CASH_LOW_GUIDANCE" hidden="1">"c4238"</definedName>
    <definedName name="IQ_DISTRIBUTABLE_CASH_LOW_GUIDANCE_CIQ" hidden="1">"c4650"</definedName>
    <definedName name="IQ_DISTRIBUTABLE_CASH_MEDIAN_EST" hidden="1">"c4282"</definedName>
    <definedName name="IQ_DISTRIBUTABLE_CASH_MEDIAN_EST_CIQ" hidden="1">"c4807"</definedName>
    <definedName name="IQ_DISTRIBUTABLE_CASH_NUM_EST" hidden="1">"c4283"</definedName>
    <definedName name="IQ_DISTRIBUTABLE_CASH_NUM_EST_CIQ" hidden="1">"c4808"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EST" hidden="1">"c4285"</definedName>
    <definedName name="IQ_DISTRIBUTABLE_CASH_SHARE_EST_CIQ" hidden="1">"c4810"</definedName>
    <definedName name="IQ_DISTRIBUTABLE_CASH_SHARE_GUIDANCE" hidden="1">"c4287"</definedName>
    <definedName name="IQ_DISTRIBUTABLE_CASH_SHARE_GUIDANCE_CIQ" hidden="1">"c4812"</definedName>
    <definedName name="IQ_DISTRIBUTABLE_CASH_SHARE_HIGH_EST" hidden="1">"c4288"</definedName>
    <definedName name="IQ_DISTRIBUTABLE_CASH_SHARE_HIGH_EST_CIQ" hidden="1">"c4813"</definedName>
    <definedName name="IQ_DISTRIBUTABLE_CASH_SHARE_HIGH_GUIDANCE" hidden="1">"c4199"</definedName>
    <definedName name="IQ_DISTRIBUTABLE_CASH_SHARE_HIGH_GUIDANCE_CIQ" hidden="1">"c4611"</definedName>
    <definedName name="IQ_DISTRIBUTABLE_CASH_SHARE_LOW_EST" hidden="1">"c4289"</definedName>
    <definedName name="IQ_DISTRIBUTABLE_CASH_SHARE_LOW_EST_CIQ" hidden="1">"c4814"</definedName>
    <definedName name="IQ_DISTRIBUTABLE_CASH_SHARE_LOW_GUIDANCE" hidden="1">"c4239"</definedName>
    <definedName name="IQ_DISTRIBUTABLE_CASH_SHARE_LOW_GUIDANCE_CIQ" hidden="1">"c4651"</definedName>
    <definedName name="IQ_DISTRIBUTABLE_CASH_SHARE_MEDIAN_EST" hidden="1">"c4290"</definedName>
    <definedName name="IQ_DISTRIBUTABLE_CASH_SHARE_MEDIAN_EST_CIQ" hidden="1">"c4815"</definedName>
    <definedName name="IQ_DISTRIBUTABLE_CASH_SHARE_NUM_EST" hidden="1">"c4291"</definedName>
    <definedName name="IQ_DISTRIBUTABLE_CASH_SHARE_NUM_EST_CIQ" hidden="1">"c4816"</definedName>
    <definedName name="IQ_DISTRIBUTABLE_CASH_SHARE_STDDEV_EST" hidden="1">"c4292"</definedName>
    <definedName name="IQ_DISTRIBUTABLE_CASH_SHARE_STDDEV_EST_CIQ" hidden="1">"c4817"</definedName>
    <definedName name="IQ_DISTRIBUTABLE_CASH_STDDEV_EST" hidden="1">"c4294"</definedName>
    <definedName name="IQ_DISTRIBUTABLE_CASH_STDDEV_EST_CIQ" hidden="1">"c4819"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EST" hidden="1">"c4296"</definedName>
    <definedName name="IQ_DIVIDEND_EST_CIQ" hidden="1">"c4821"</definedName>
    <definedName name="IQ_DIVIDEND_HIGH_EST" hidden="1">"c4297"</definedName>
    <definedName name="IQ_DIVIDEND_HIGH_EST_CIQ" hidden="1">"c4822"</definedName>
    <definedName name="IQ_DIVIDEND_LOW_EST" hidden="1">"c4298"</definedName>
    <definedName name="IQ_DIVIDEND_LOW_EST_CIQ" hidden="1">"c4823"</definedName>
    <definedName name="IQ_DIVIDEND_MEDIAN_EST" hidden="1">"c4299"</definedName>
    <definedName name="IQ_DIVIDEND_MEDIAN_EST_CIQ" hidden="1">"c4824"</definedName>
    <definedName name="IQ_DIVIDEND_NUM_EST" hidden="1">"c4300"</definedName>
    <definedName name="IQ_DIVIDEND_NUM_EST_CIQ" hidden="1">"c4825"</definedName>
    <definedName name="IQ_DIVIDEND_STDDEV_EST" hidden="1">"c4301"</definedName>
    <definedName name="IQ_DIVIDEND_STDDEV_EST_CIQ" hidden="1">"c4826"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CIQ" hidden="1">"c5062"</definedName>
    <definedName name="IQ_DPS_EST" hidden="1">"c1674"</definedName>
    <definedName name="IQ_DPS_EST_BOTTOM_UP" hidden="1">"c5493"</definedName>
    <definedName name="IQ_DPS_EST_BOTTOM_UP_CIQ" hidden="1">"c12030"</definedName>
    <definedName name="IQ_DPS_EST_CIQ" hidden="1">"c3682"</definedName>
    <definedName name="IQ_DPS_GUIDANCE" hidden="1">"c4302"</definedName>
    <definedName name="IQ_DPS_GUIDANCE_CIQ" hidden="1">"c4827"</definedName>
    <definedName name="IQ_DPS_HIGH_EST" hidden="1">"c1676"</definedName>
    <definedName name="IQ_DPS_HIGH_EST_CIQ" hidden="1">"c3684"</definedName>
    <definedName name="IQ_DPS_HIGH_GUIDANCE" hidden="1">"c4168"</definedName>
    <definedName name="IQ_DPS_HIGH_GUIDANCE_CIQ" hidden="1">"c4580"</definedName>
    <definedName name="IQ_DPS_LOW_EST" hidden="1">"c1677"</definedName>
    <definedName name="IQ_DPS_LOW_EST_CIQ" hidden="1">"c3685"</definedName>
    <definedName name="IQ_DPS_LOW_GUIDANCE" hidden="1">"c4208"</definedName>
    <definedName name="IQ_DPS_LOW_GUIDANCE_CIQ" hidden="1">"c4620"</definedName>
    <definedName name="IQ_DPS_MEDIAN_EST" hidden="1">"c1675"</definedName>
    <definedName name="IQ_DPS_MEDIAN_EST_CIQ" hidden="1">"c3683"</definedName>
    <definedName name="IQ_DPS_NUM_EST" hidden="1">"c1678"</definedName>
    <definedName name="IQ_DPS_NUM_EST_CIQ" hidden="1">"c3686"</definedName>
    <definedName name="IQ_DPS_STDDEV_EST" hidden="1">"c1679"</definedName>
    <definedName name="IQ_DPS_STDDEV_EST_CIQ" hidden="1">"c3687"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CIQ" hidden="1">"c5063"</definedName>
    <definedName name="IQ_EBIT_EQ_INC" hidden="1">"c3498"</definedName>
    <definedName name="IQ_EBIT_EQ_INC_EXCL_SBC" hidden="1">"c3502"</definedName>
    <definedName name="IQ_EBIT_EST" hidden="1">"c1681"</definedName>
    <definedName name="IQ_EBIT_EST_CIQ" hidden="1">"c4674"</definedName>
    <definedName name="IQ_EBIT_EXCL_SBC" hidden="1">"c3082"</definedName>
    <definedName name="IQ_EBIT_GUIDANCE" hidden="1">"c4303"</definedName>
    <definedName name="IQ_EBIT_GUIDANCE_CIQ" hidden="1">"c4828"</definedName>
    <definedName name="IQ_EBIT_GW_ACT_OR_EST" hidden="1">"c4306"</definedName>
    <definedName name="IQ_EBIT_GW_ACT_OR_EST_CIQ" hidden="1">"c4831"</definedName>
    <definedName name="IQ_EBIT_GW_EST" hidden="1">"c4305"</definedName>
    <definedName name="IQ_EBIT_GW_EST_CIQ" hidden="1">"c4830"</definedName>
    <definedName name="IQ_EBIT_GW_GUIDANCE" hidden="1">"c4307"</definedName>
    <definedName name="IQ_EBIT_GW_GUIDANCE_CIQ" hidden="1">"c4832"</definedName>
    <definedName name="IQ_EBIT_GW_HIGH_EST" hidden="1">"c4308"</definedName>
    <definedName name="IQ_EBIT_GW_HIGH_EST_CIQ" hidden="1">"c4833"</definedName>
    <definedName name="IQ_EBIT_GW_HIGH_GUIDANCE" hidden="1">"c4171"</definedName>
    <definedName name="IQ_EBIT_GW_HIGH_GUIDANCE_CIQ" hidden="1">"c4583"</definedName>
    <definedName name="IQ_EBIT_GW_LOW_EST" hidden="1">"c4309"</definedName>
    <definedName name="IQ_EBIT_GW_LOW_EST_CIQ" hidden="1">"c4834"</definedName>
    <definedName name="IQ_EBIT_GW_LOW_GUIDANCE" hidden="1">"c4211"</definedName>
    <definedName name="IQ_EBIT_GW_LOW_GUIDANCE_CIQ" hidden="1">"c4623"</definedName>
    <definedName name="IQ_EBIT_GW_MEDIAN_EST" hidden="1">"c4310"</definedName>
    <definedName name="IQ_EBIT_GW_MEDIAN_EST_CIQ" hidden="1">"c4835"</definedName>
    <definedName name="IQ_EBIT_GW_NUM_EST" hidden="1">"c4311"</definedName>
    <definedName name="IQ_EBIT_GW_NUM_EST_CIQ" hidden="1">"c4836"</definedName>
    <definedName name="IQ_EBIT_GW_STDDEV_EST" hidden="1">"c4312"</definedName>
    <definedName name="IQ_EBIT_GW_STDDEV_EST_CIQ" hidden="1">"c4837"</definedName>
    <definedName name="IQ_EBIT_HIGH_EST" hidden="1">"c1683"</definedName>
    <definedName name="IQ_EBIT_HIGH_EST_CIQ" hidden="1">"c4676"</definedName>
    <definedName name="IQ_EBIT_HIGH_GUIDANCE" hidden="1">"c4172"</definedName>
    <definedName name="IQ_EBIT_HIGH_GUIDANCE_CIQ" hidden="1">"c4584"</definedName>
    <definedName name="IQ_EBIT_INT" hidden="1">"c360"</definedName>
    <definedName name="IQ_EBIT_LOW_EST" hidden="1">"c1684"</definedName>
    <definedName name="IQ_EBIT_LOW_EST_CIQ" hidden="1">"c4677"</definedName>
    <definedName name="IQ_EBIT_LOW_GUIDANCE" hidden="1">"c4212"</definedName>
    <definedName name="IQ_EBIT_LOW_GUIDANCE_CIQ" hidden="1">"c4624"</definedName>
    <definedName name="IQ_EBIT_MARGIN" hidden="1">"c359"</definedName>
    <definedName name="IQ_EBIT_MEDIAN_EST" hidden="1">"c1682"</definedName>
    <definedName name="IQ_EBIT_MEDIAN_EST_CIQ" hidden="1">"c4675"</definedName>
    <definedName name="IQ_EBIT_NUM_EST" hidden="1">"c1685"</definedName>
    <definedName name="IQ_EBIT_NUM_EST_CIQ" hidden="1">"c4678"</definedName>
    <definedName name="IQ_EBIT_OVER_IE" hidden="1">"c360"</definedName>
    <definedName name="IQ_EBIT_SBC_ACT_OR_EST" hidden="1">"c4316"</definedName>
    <definedName name="IQ_EBIT_SBC_ACT_OR_EST_CIQ" hidden="1">"c4841"</definedName>
    <definedName name="IQ_EBIT_SBC_EST" hidden="1">"c4315"</definedName>
    <definedName name="IQ_EBIT_SBC_EST_CIQ" hidden="1">"c4840"</definedName>
    <definedName name="IQ_EBIT_SBC_GUIDANCE" hidden="1">"c4317"</definedName>
    <definedName name="IQ_EBIT_SBC_GUIDANCE_CIQ" hidden="1">"c4842"</definedName>
    <definedName name="IQ_EBIT_SBC_GW_ACT_OR_EST" hidden="1">"c4320"</definedName>
    <definedName name="IQ_EBIT_SBC_GW_ACT_OR_EST_CIQ" hidden="1">"c4845"</definedName>
    <definedName name="IQ_EBIT_SBC_GW_EST" hidden="1">"c4319"</definedName>
    <definedName name="IQ_EBIT_SBC_GW_EST_CIQ" hidden="1">"c4844"</definedName>
    <definedName name="IQ_EBIT_SBC_GW_GUIDANCE" hidden="1">"c4321"</definedName>
    <definedName name="IQ_EBIT_SBC_GW_GUIDANCE_CIQ" hidden="1">"c4846"</definedName>
    <definedName name="IQ_EBIT_SBC_GW_HIGH_EST" hidden="1">"c4322"</definedName>
    <definedName name="IQ_EBIT_SBC_GW_HIGH_EST_CIQ" hidden="1">"c4847"</definedName>
    <definedName name="IQ_EBIT_SBC_GW_HIGH_GUIDANCE" hidden="1">"c4193"</definedName>
    <definedName name="IQ_EBIT_SBC_GW_HIGH_GUIDANCE_CIQ" hidden="1">"c4605"</definedName>
    <definedName name="IQ_EBIT_SBC_GW_LOW_EST" hidden="1">"c4323"</definedName>
    <definedName name="IQ_EBIT_SBC_GW_LOW_EST_CIQ" hidden="1">"c4848"</definedName>
    <definedName name="IQ_EBIT_SBC_GW_LOW_GUIDANCE" hidden="1">"c4233"</definedName>
    <definedName name="IQ_EBIT_SBC_GW_LOW_GUIDANCE_CIQ" hidden="1">"c4645"</definedName>
    <definedName name="IQ_EBIT_SBC_GW_MEDIAN_EST" hidden="1">"c4324"</definedName>
    <definedName name="IQ_EBIT_SBC_GW_MEDIAN_EST_CIQ" hidden="1">"c4849"</definedName>
    <definedName name="IQ_EBIT_SBC_GW_NUM_EST" hidden="1">"c4325"</definedName>
    <definedName name="IQ_EBIT_SBC_GW_NUM_EST_CIQ" hidden="1">"c4850"</definedName>
    <definedName name="IQ_EBIT_SBC_GW_STDDEV_EST" hidden="1">"c4326"</definedName>
    <definedName name="IQ_EBIT_SBC_GW_STDDEV_EST_CIQ" hidden="1">"c4851"</definedName>
    <definedName name="IQ_EBIT_SBC_HIGH_EST" hidden="1">"c4328"</definedName>
    <definedName name="IQ_EBIT_SBC_HIGH_EST_CIQ" hidden="1">"c4853"</definedName>
    <definedName name="IQ_EBIT_SBC_HIGH_GUIDANCE" hidden="1">"c4192"</definedName>
    <definedName name="IQ_EBIT_SBC_HIGH_GUIDANCE_CIQ" hidden="1">"c4604"</definedName>
    <definedName name="IQ_EBIT_SBC_LOW_EST" hidden="1">"c4329"</definedName>
    <definedName name="IQ_EBIT_SBC_LOW_EST_CIQ" hidden="1">"c4854"</definedName>
    <definedName name="IQ_EBIT_SBC_LOW_GUIDANCE" hidden="1">"c4232"</definedName>
    <definedName name="IQ_EBIT_SBC_LOW_GUIDANCE_CIQ" hidden="1">"c4644"</definedName>
    <definedName name="IQ_EBIT_SBC_MEDIAN_EST" hidden="1">"c4330"</definedName>
    <definedName name="IQ_EBIT_SBC_MEDIAN_EST_CIQ" hidden="1">"c4855"</definedName>
    <definedName name="IQ_EBIT_SBC_NUM_EST" hidden="1">"c4331"</definedName>
    <definedName name="IQ_EBIT_SBC_NUM_EST_CIQ" hidden="1">"c4856"</definedName>
    <definedName name="IQ_EBIT_SBC_STDDEV_EST" hidden="1">"c4332"</definedName>
    <definedName name="IQ_EBIT_SBC_STDDEV_EST_CIQ" hidden="1">"c4857"</definedName>
    <definedName name="IQ_EBIT_STDDEV_EST" hidden="1">"c1686"</definedName>
    <definedName name="IQ_EBIT_STDDEV_EST_CIQ" hidden="1">"c4679"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CAPEX_INT" hidden="1">"c368"</definedName>
    <definedName name="IQ_EBITDA_CAPEX_OVER_TOTAL_IE" hidden="1">"c368"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XCL_SBC" hidden="1">"c3081"</definedName>
    <definedName name="IQ_EBITDA_GUIDANCE" hidden="1">"c4334"</definedName>
    <definedName name="IQ_EBITDA_GUIDANCE_CIQ" hidden="1">"c4859"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IGH_GUIDANCE" hidden="1">"c4170"</definedName>
    <definedName name="IQ_EBITDA_HIGH_GUIDANCE_CIQ" hidden="1">"c4582"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LOW_GUIDANCE" hidden="1">"c4210"</definedName>
    <definedName name="IQ_EBITDA_LOW_GUIDANCE_CIQ" hidden="1">"c4622"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OVER_TOTAL_IE" hidden="1">"c373"</definedName>
    <definedName name="IQ_EBITDA_SBC_ACT_OR_EST" hidden="1">"c4337"</definedName>
    <definedName name="IQ_EBITDA_SBC_ACT_OR_EST_CIQ" hidden="1">"c4862"</definedName>
    <definedName name="IQ_EBITDA_SBC_EST" hidden="1">"c4336"</definedName>
    <definedName name="IQ_EBITDA_SBC_EST_CIQ" hidden="1">"c4861"</definedName>
    <definedName name="IQ_EBITDA_SBC_GUIDANCE" hidden="1">"c4338"</definedName>
    <definedName name="IQ_EBITDA_SBC_GUIDANCE_CIQ" hidden="1">"c4863"</definedName>
    <definedName name="IQ_EBITDA_SBC_HIGH_EST" hidden="1">"c4339"</definedName>
    <definedName name="IQ_EBITDA_SBC_HIGH_EST_CIQ" hidden="1">"c4864"</definedName>
    <definedName name="IQ_EBITDA_SBC_HIGH_GUIDANCE" hidden="1">"c4194"</definedName>
    <definedName name="IQ_EBITDA_SBC_HIGH_GUIDANCE_CIQ" hidden="1">"c4606"</definedName>
    <definedName name="IQ_EBITDA_SBC_LOW_EST" hidden="1">"c4340"</definedName>
    <definedName name="IQ_EBITDA_SBC_LOW_EST_CIQ" hidden="1">"c4865"</definedName>
    <definedName name="IQ_EBITDA_SBC_LOW_GUIDANCE" hidden="1">"c4234"</definedName>
    <definedName name="IQ_EBITDA_SBC_LOW_GUIDANCE_CIQ" hidden="1">"c4646"</definedName>
    <definedName name="IQ_EBITDA_SBC_MEDIAN_EST" hidden="1">"c4341"</definedName>
    <definedName name="IQ_EBITDA_SBC_MEDIAN_EST_CIQ" hidden="1">"c4866"</definedName>
    <definedName name="IQ_EBITDA_SBC_NUM_EST" hidden="1">"c4342"</definedName>
    <definedName name="IQ_EBITDA_SBC_NUM_EST_CIQ" hidden="1">"c4867"</definedName>
    <definedName name="IQ_EBITDA_SBC_STDDEV_EST" hidden="1">"c4343"</definedName>
    <definedName name="IQ_EBITDA_SBC_STDDEV_EST_CIQ" hidden="1">"c4868"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GAAP_GUIDANCE" hidden="1">"c4345"</definedName>
    <definedName name="IQ_EBT_GAAP_GUIDANCE_CIQ" hidden="1">"c4870"</definedName>
    <definedName name="IQ_EBT_GAAP_HIGH_GUIDANCE" hidden="1">"c4174"</definedName>
    <definedName name="IQ_EBT_GAAP_HIGH_GUIDANCE_CIQ" hidden="1">"c4586"</definedName>
    <definedName name="IQ_EBT_GAAP_LOW_GUIDANCE" hidden="1">"c4214"</definedName>
    <definedName name="IQ_EBT_GAAP_LOW_GUIDANCE_CIQ" hidden="1">"c4626"</definedName>
    <definedName name="IQ_EBT_GUIDANCE" hidden="1">"c4346"</definedName>
    <definedName name="IQ_EBT_GUIDANCE_CIQ" hidden="1">"c4871"</definedName>
    <definedName name="IQ_EBT_GW_GUIDANCE" hidden="1">"c4347"</definedName>
    <definedName name="IQ_EBT_GW_GUIDANCE_CIQ" hidden="1">"c4872"</definedName>
    <definedName name="IQ_EBT_GW_HIGH_GUIDANCE" hidden="1">"c4175"</definedName>
    <definedName name="IQ_EBT_GW_HIGH_GUIDANCE_CIQ" hidden="1">"c4587"</definedName>
    <definedName name="IQ_EBT_GW_LOW_GUIDANCE" hidden="1">"c4215"</definedName>
    <definedName name="IQ_EBT_GW_LOW_GUIDANCE_CIQ" hidden="1">"c4627"</definedName>
    <definedName name="IQ_EBT_HIGH_GUIDANCE" hidden="1">"c4173"</definedName>
    <definedName name="IQ_EBT_HIGH_GUIDANCE_CIQ" hidden="1">"c4585"</definedName>
    <definedName name="IQ_EBT_INCL_MARGIN" hidden="1">"c387"</definedName>
    <definedName name="IQ_EBT_INS" hidden="1">"c388"</definedName>
    <definedName name="IQ_EBT_LOW_GUIDANCE" hidden="1">"c4213"</definedName>
    <definedName name="IQ_EBT_LOW_GUIDANCE_CIQ" hidden="1">"c4625"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EST" hidden="1">"c4349"</definedName>
    <definedName name="IQ_EBT_SBC_EST_CIQ" hidden="1">"c4874"</definedName>
    <definedName name="IQ_EBT_SBC_GUIDANCE" hidden="1">"c4351"</definedName>
    <definedName name="IQ_EBT_SBC_GUIDANCE_CIQ" hidden="1">"c4876"</definedName>
    <definedName name="IQ_EBT_SBC_GW_ACT_OR_EST" hidden="1">"c4354"</definedName>
    <definedName name="IQ_EBT_SBC_GW_ACT_OR_EST_CIQ" hidden="1">"c4879"</definedName>
    <definedName name="IQ_EBT_SBC_GW_EST" hidden="1">"c4353"</definedName>
    <definedName name="IQ_EBT_SBC_GW_EST_CIQ" hidden="1">"c4878"</definedName>
    <definedName name="IQ_EBT_SBC_GW_GUIDANCE" hidden="1">"c4355"</definedName>
    <definedName name="IQ_EBT_SBC_GW_GUIDANCE_CIQ" hidden="1">"c4880"</definedName>
    <definedName name="IQ_EBT_SBC_GW_HIGH_EST" hidden="1">"c4356"</definedName>
    <definedName name="IQ_EBT_SBC_GW_HIGH_EST_CIQ" hidden="1">"c4881"</definedName>
    <definedName name="IQ_EBT_SBC_GW_HIGH_GUIDANCE" hidden="1">"c4191"</definedName>
    <definedName name="IQ_EBT_SBC_GW_HIGH_GUIDANCE_CIQ" hidden="1">"c4603"</definedName>
    <definedName name="IQ_EBT_SBC_GW_LOW_EST" hidden="1">"c4357"</definedName>
    <definedName name="IQ_EBT_SBC_GW_LOW_EST_CIQ" hidden="1">"c4882"</definedName>
    <definedName name="IQ_EBT_SBC_GW_LOW_GUIDANCE" hidden="1">"c4231"</definedName>
    <definedName name="IQ_EBT_SBC_GW_LOW_GUIDANCE_CIQ" hidden="1">"c4643"</definedName>
    <definedName name="IQ_EBT_SBC_GW_MEDIAN_EST" hidden="1">"c4358"</definedName>
    <definedName name="IQ_EBT_SBC_GW_MEDIAN_EST_CIQ" hidden="1">"c4883"</definedName>
    <definedName name="IQ_EBT_SBC_GW_NUM_EST" hidden="1">"c4359"</definedName>
    <definedName name="IQ_EBT_SBC_GW_NUM_EST_CIQ" hidden="1">"c4884"</definedName>
    <definedName name="IQ_EBT_SBC_GW_STDDEV_EST" hidden="1">"c4360"</definedName>
    <definedName name="IQ_EBT_SBC_GW_STDDEV_EST_CIQ" hidden="1">"c4885"</definedName>
    <definedName name="IQ_EBT_SBC_HIGH_EST" hidden="1">"c4362"</definedName>
    <definedName name="IQ_EBT_SBC_HIGH_EST_CIQ" hidden="1">"c4887"</definedName>
    <definedName name="IQ_EBT_SBC_HIGH_GUIDANCE" hidden="1">"c4190"</definedName>
    <definedName name="IQ_EBT_SBC_HIGH_GUIDANCE_CIQ" hidden="1">"c4602"</definedName>
    <definedName name="IQ_EBT_SBC_LOW_EST" hidden="1">"c4363"</definedName>
    <definedName name="IQ_EBT_SBC_LOW_EST_CIQ" hidden="1">"c4888"</definedName>
    <definedName name="IQ_EBT_SBC_LOW_GUIDANCE" hidden="1">"c4230"</definedName>
    <definedName name="IQ_EBT_SBC_LOW_GUIDANCE_CIQ" hidden="1">"c4642"</definedName>
    <definedName name="IQ_EBT_SBC_MEDIAN_EST" hidden="1">"c4364"</definedName>
    <definedName name="IQ_EBT_SBC_MEDIAN_EST_CIQ" hidden="1">"c4889"</definedName>
    <definedName name="IQ_EBT_SBC_NUM_EST" hidden="1">"c4365"</definedName>
    <definedName name="IQ_EBT_SBC_NUM_EST_CIQ" hidden="1">"c4890"</definedName>
    <definedName name="IQ_EBT_SBC_STDDEV_EST" hidden="1">"c4366"</definedName>
    <definedName name="IQ_EBT_SBC_STDDEV_EST_CIQ" hidden="1">"c4891"</definedName>
    <definedName name="IQ_EBT_SUBTOTAL_AP" hidden="1">"c8982"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27" hidden="1">"c6927"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147" hidden="1">"c7147"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367" hidden="1">"c7367"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587" hidden="1">"c7587"</definedName>
    <definedName name="IQ_ECO_METRIC_7648_UNUSED_UNUSED_UNUSED" hidden="1">"c7648"</definedName>
    <definedName name="IQ_ECO_METRIC_7704" hidden="1">"c7704"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_UNUSED_UNUSED" hidden="1">"c8436"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"c84"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P" hidden="1">"c8880"</definedName>
    <definedName name="IQ_EPS_AP_ABS" hidden="1">"c8899"</definedName>
    <definedName name="IQ_EPS_EST" hidden="1">"c399"</definedName>
    <definedName name="IQ_EPS_EST_BOTTOM_UP" hidden="1">"c5489"</definedName>
    <definedName name="IQ_EPS_EST_BOTTOM_UP_CIQ" hidden="1">"c12026"</definedName>
    <definedName name="IQ_EPS_EST_CIQ" hidden="1">"c4994"</definedName>
    <definedName name="IQ_EPS_EST_REUT" hidden="1">"c5453"</definedName>
    <definedName name="IQ_EPS_EXCL_GUIDANCE" hidden="1">"c4368"</definedName>
    <definedName name="IQ_EPS_EXCL_GUIDANCE_CIQ" hidden="1">"c4893"</definedName>
    <definedName name="IQ_EPS_EXCL_HIGH_GUIDANCE" hidden="1">"c4369"</definedName>
    <definedName name="IQ_EPS_EXCL_HIGH_GUIDANCE_CIQ" hidden="1">"c4894"</definedName>
    <definedName name="IQ_EPS_EXCL_LOW_GUIDANCE" hidden="1">"c4204"</definedName>
    <definedName name="IQ_EPS_EXCL_LOW_GUIDANCE_CIQ" hidden="1">"c4616"</definedName>
    <definedName name="IQ_EPS_GAAP_GUIDANCE" hidden="1">"c4370"</definedName>
    <definedName name="IQ_EPS_GAAP_GUIDANCE_CIQ" hidden="1">"c4895"</definedName>
    <definedName name="IQ_EPS_GAAP_HIGH_GUIDANCE" hidden="1">"c4371"</definedName>
    <definedName name="IQ_EPS_GAAP_HIGH_GUIDANCE_CIQ" hidden="1">"c4896"</definedName>
    <definedName name="IQ_EPS_GAAP_LOW_GUIDANCE" hidden="1">"c4205"</definedName>
    <definedName name="IQ_EPS_GAAP_LOW_GUIDANCE_CIQ" hidden="1">"c4617"</definedName>
    <definedName name="IQ_EPS_GW_ACT_OR_EST" hidden="1">"c2223"</definedName>
    <definedName name="IQ_EPS_GW_ACT_OR_EST_CIQ" hidden="1">"c5066"</definedName>
    <definedName name="IQ_EPS_GW_EST" hidden="1">"c1737"</definedName>
    <definedName name="IQ_EPS_GW_EST_BOTTOM_UP" hidden="1">"c5491"</definedName>
    <definedName name="IQ_EPS_GW_EST_BOTTOM_UP_CIQ" hidden="1">"c12028"</definedName>
    <definedName name="IQ_EPS_GW_EST_CIQ" hidden="1">"c4723"</definedName>
    <definedName name="IQ_EPS_GW_EST_REUT" hidden="1">"c5389"</definedName>
    <definedName name="IQ_EPS_GW_GUIDANCE" hidden="1">"c4372"</definedName>
    <definedName name="IQ_EPS_GW_GUIDANCE_CIQ" hidden="1">"c4897"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HIGH_GUIDANCE" hidden="1">"c4373"</definedName>
    <definedName name="IQ_EPS_GW_HIGH_GUIDANCE_CIQ" hidden="1">"c4898"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LOW_GUIDANCE" hidden="1">"c4206"</definedName>
    <definedName name="IQ_EPS_GW_LOW_GUIDANCE_CIQ" hidden="1">"c4618"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HIGH_EST" hidden="1">"c400"</definedName>
    <definedName name="IQ_EPS_HIGH_EST_CIQ" hidden="1">"c4995"</definedName>
    <definedName name="IQ_EPS_HIGH_EST_REUT" hidden="1">"c5454"</definedName>
    <definedName name="IQ_EPS_LOW_EST" hidden="1">"c401"</definedName>
    <definedName name="IQ_EPS_LOW_EST_CIQ" hidden="1">"c4996"</definedName>
    <definedName name="IQ_EPS_LOW_EST_REUT" hidden="1">"c5455"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BOTTOM_UP" hidden="1">"c5490"</definedName>
    <definedName name="IQ_EPS_NORM_EST_BOTTOM_UP_CIQ" hidden="1">"c12027"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REPORT_ACT_OR_EST" hidden="1">"c2224"</definedName>
    <definedName name="IQ_EPS_REPORT_ACT_OR_EST_CIQ" hidden="1">"c5067"</definedName>
    <definedName name="IQ_EPS_REPORTED_EST" hidden="1">"c1744"</definedName>
    <definedName name="IQ_EPS_REPORTED_EST_BOTTOM_UP" hidden="1">"c5492"</definedName>
    <definedName name="IQ_EPS_REPORTED_EST_BOTTOM_UP_CIQ" hidden="1">"c12029"</definedName>
    <definedName name="IQ_EPS_REPORTED_EST_CIQ" hidden="1">"c4730"</definedName>
    <definedName name="IQ_EPS_REPORTED_EST_REUT" hidden="1">"c5396"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SBC_ACT_OR_EST" hidden="1">"c4376"</definedName>
    <definedName name="IQ_EPS_SBC_ACT_OR_EST_CIQ" hidden="1">"c4901"</definedName>
    <definedName name="IQ_EPS_SBC_EST" hidden="1">"c4375"</definedName>
    <definedName name="IQ_EPS_SBC_EST_CIQ" hidden="1">"c4900"</definedName>
    <definedName name="IQ_EPS_SBC_GUIDANCE" hidden="1">"c4377"</definedName>
    <definedName name="IQ_EPS_SBC_GUIDANCE_CIQ" hidden="1">"c4902"</definedName>
    <definedName name="IQ_EPS_SBC_GW_ACT_OR_EST" hidden="1">"c4380"</definedName>
    <definedName name="IQ_EPS_SBC_GW_ACT_OR_EST_CIQ" hidden="1">"c4905"</definedName>
    <definedName name="IQ_EPS_SBC_GW_EST" hidden="1">"c4379"</definedName>
    <definedName name="IQ_EPS_SBC_GW_EST_CIQ" hidden="1">"c4904"</definedName>
    <definedName name="IQ_EPS_SBC_GW_GUIDANCE" hidden="1">"c4381"</definedName>
    <definedName name="IQ_EPS_SBC_GW_GUIDANCE_CIQ" hidden="1">"c4906"</definedName>
    <definedName name="IQ_EPS_SBC_GW_HIGH_EST" hidden="1">"c4382"</definedName>
    <definedName name="IQ_EPS_SBC_GW_HIGH_EST_CIQ" hidden="1">"c4907"</definedName>
    <definedName name="IQ_EPS_SBC_GW_HIGH_GUIDANCE" hidden="1">"c4189"</definedName>
    <definedName name="IQ_EPS_SBC_GW_HIGH_GUIDANCE_CIQ" hidden="1">"c4601"</definedName>
    <definedName name="IQ_EPS_SBC_GW_LOW_EST" hidden="1">"c4383"</definedName>
    <definedName name="IQ_EPS_SBC_GW_LOW_EST_CIQ" hidden="1">"c4908"</definedName>
    <definedName name="IQ_EPS_SBC_GW_LOW_GUIDANCE" hidden="1">"c4229"</definedName>
    <definedName name="IQ_EPS_SBC_GW_LOW_GUIDANCE_CIQ" hidden="1">"c4641"</definedName>
    <definedName name="IQ_EPS_SBC_GW_MEDIAN_EST" hidden="1">"c4384"</definedName>
    <definedName name="IQ_EPS_SBC_GW_MEDIAN_EST_CIQ" hidden="1">"c4909"</definedName>
    <definedName name="IQ_EPS_SBC_GW_NUM_EST" hidden="1">"c4385"</definedName>
    <definedName name="IQ_EPS_SBC_GW_NUM_EST_CIQ" hidden="1">"c4910"</definedName>
    <definedName name="IQ_EPS_SBC_GW_STDDEV_EST" hidden="1">"c4386"</definedName>
    <definedName name="IQ_EPS_SBC_GW_STDDEV_EST_CIQ" hidden="1">"c4911"</definedName>
    <definedName name="IQ_EPS_SBC_HIGH_EST" hidden="1">"c4388"</definedName>
    <definedName name="IQ_EPS_SBC_HIGH_EST_CIQ" hidden="1">"c4913"</definedName>
    <definedName name="IQ_EPS_SBC_HIGH_GUIDANCE" hidden="1">"c4188"</definedName>
    <definedName name="IQ_EPS_SBC_HIGH_GUIDANCE_CIQ" hidden="1">"c4600"</definedName>
    <definedName name="IQ_EPS_SBC_LOW_EST" hidden="1">"c4389"</definedName>
    <definedName name="IQ_EPS_SBC_LOW_EST_CIQ" hidden="1">"c4914"</definedName>
    <definedName name="IQ_EPS_SBC_LOW_GUIDANCE" hidden="1">"c4228"</definedName>
    <definedName name="IQ_EPS_SBC_LOW_GUIDANCE_CIQ" hidden="1">"c4640"</definedName>
    <definedName name="IQ_EPS_SBC_MEDIAN_EST" hidden="1">"c4390"</definedName>
    <definedName name="IQ_EPS_SBC_MEDIAN_EST_CIQ" hidden="1">"c4915"</definedName>
    <definedName name="IQ_EPS_SBC_NUM_EST" hidden="1">"c4391"</definedName>
    <definedName name="IQ_EPS_SBC_NUM_EST_CIQ" hidden="1">"c4916"</definedName>
    <definedName name="IQ_EPS_SBC_STDDEV_EST" hidden="1">"c4392"</definedName>
    <definedName name="IQ_EPS_SBC_STDDEV_EST_CIQ" hidden="1">"c4917"</definedName>
    <definedName name="IQ_EPS_STDDEV_EST" hidden="1">"c403"</definedName>
    <definedName name="IQ_EPS_STDDEV_EST_CIQ" hidden="1">"c4993"</definedName>
    <definedName name="IQ_EPS_STDDEV_EST_REUT" hidden="1">"c5452"</definedName>
    <definedName name="IQ_EQUITY_AFFIL" hidden="1">"c552"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T_ACT_BV" hidden="1">"c5630"</definedName>
    <definedName name="IQ_EST_ACT_BV_CIQ" hidden="1">"c4743"</definedName>
    <definedName name="IQ_EST_ACT_BV_SHARE" hidden="1">"c3549"</definedName>
    <definedName name="IQ_EST_ACT_BV_SHARE_CIQ" hidden="1">"c3806"</definedName>
    <definedName name="IQ_EST_ACT_CAPEX" hidden="1">"c3546"</definedName>
    <definedName name="IQ_EST_ACT_CAPEX_CIQ" hidden="1">"c3813"</definedName>
    <definedName name="IQ_EST_ACT_CASH_EPS" hidden="1">"c5637"</definedName>
    <definedName name="IQ_EST_ACT_CASH_FLOW" hidden="1">"c4394"</definedName>
    <definedName name="IQ_EST_ACT_CASH_FLOW_CIQ" hidden="1">"c4919"</definedName>
    <definedName name="IQ_EST_ACT_CASH_OPER" hidden="1">"c4395"</definedName>
    <definedName name="IQ_EST_ACT_CASH_OPER_CIQ" hidden="1">"c4920"</definedName>
    <definedName name="IQ_EST_ACT_CFPS" hidden="1">"c1673"</definedName>
    <definedName name="IQ_EST_ACT_CFPS_CIQ" hidden="1">"c3681"</definedName>
    <definedName name="IQ_EST_ACT_DISTRIBUTABLE_CASH" hidden="1">"c4396"</definedName>
    <definedName name="IQ_EST_ACT_DISTRIBUTABLE_CASH_CIQ" hidden="1">"c4921"</definedName>
    <definedName name="IQ_EST_ACT_DISTRIBUTABLE_CASH_SHARE" hidden="1">"c4397"</definedName>
    <definedName name="IQ_EST_ACT_DISTRIBUTABLE_CASH_SHARE_CIQ" hidden="1">"c4922"</definedName>
    <definedName name="IQ_EST_ACT_DPS" hidden="1">"c1680"</definedName>
    <definedName name="IQ_EST_ACT_DPS_CIQ" hidden="1">"c3688"</definedName>
    <definedName name="IQ_EST_ACT_EBIT" hidden="1">"c1687"</definedName>
    <definedName name="IQ_EST_ACT_EBIT_CIQ" hidden="1">"c4680"</definedName>
    <definedName name="IQ_EST_ACT_EBIT_GW" hidden="1">"c4398"</definedName>
    <definedName name="IQ_EST_ACT_EBIT_GW_CIQ" hidden="1">"c4923"</definedName>
    <definedName name="IQ_EST_ACT_EBIT_SBC" hidden="1">"c4399"</definedName>
    <definedName name="IQ_EST_ACT_EBIT_SBC_CIQ" hidden="1">"c4924"</definedName>
    <definedName name="IQ_EST_ACT_EBIT_SBC_GW" hidden="1">"c4400"</definedName>
    <definedName name="IQ_EST_ACT_EBIT_SBC_GW_CIQ" hidden="1">"c4925"</definedName>
    <definedName name="IQ_EST_ACT_EBITDA" hidden="1">"c1664"</definedName>
    <definedName name="IQ_EST_ACT_EBITDA_CIQ" hidden="1">"c3667"</definedName>
    <definedName name="IQ_EST_ACT_EBITDA_SBC" hidden="1">"c4401"</definedName>
    <definedName name="IQ_EST_ACT_EBITDA_SBC_CIQ" hidden="1">"c4926"</definedName>
    <definedName name="IQ_EST_ACT_EBT_SBC" hidden="1">"c4402"</definedName>
    <definedName name="IQ_EST_ACT_EBT_SBC_CIQ" hidden="1">"c4927"</definedName>
    <definedName name="IQ_EST_ACT_EBT_SBC_GW" hidden="1">"c4403"</definedName>
    <definedName name="IQ_EST_ACT_EBT_SBC_GW_CIQ" hidden="1">"c4928"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SBC" hidden="1">"c4404"</definedName>
    <definedName name="IQ_EST_ACT_EPS_SBC_CIQ" hidden="1">"c4929"</definedName>
    <definedName name="IQ_EST_ACT_EPS_SBC_GW" hidden="1">"c4405"</definedName>
    <definedName name="IQ_EST_ACT_EPS_SBC_GW_CIQ" hidden="1">"c4930"</definedName>
    <definedName name="IQ_EST_ACT_FFO" hidden="1">"c1666"</definedName>
    <definedName name="IQ_EST_ACT_FFO_ADJ" hidden="1">"c4406"</definedName>
    <definedName name="IQ_EST_ACT_FFO_ADJ_CIQ" hidden="1">"c4931"</definedName>
    <definedName name="IQ_EST_ACT_FFO_CIQ" hidden="1">"c3674"</definedName>
    <definedName name="IQ_EST_ACT_FFO_SHARE" hidden="1">"c4407"</definedName>
    <definedName name="IQ_EST_ACT_FFO_SHARE_CIQ" hidden="1">"c4932"</definedName>
    <definedName name="IQ_EST_ACT_GROSS_MARGIN" hidden="1">"c5553"</definedName>
    <definedName name="IQ_EST_ACT_MAINT_CAPEX" hidden="1">"c4408"</definedName>
    <definedName name="IQ_EST_ACT_MAINT_CAPEX_CIQ" hidden="1">"c4933"</definedName>
    <definedName name="IQ_EST_ACT_NAV" hidden="1">"c1757"</definedName>
    <definedName name="IQ_EST_ACT_NAV_SHARE" hidden="1">"c5608"</definedName>
    <definedName name="IQ_EST_ACT_NAV_SHARE_CIQ" hidden="1">"c12031"</definedName>
    <definedName name="IQ_EST_ACT_NET_DEBT" hidden="1">"c3545"</definedName>
    <definedName name="IQ_EST_ACT_NET_DEBT_CIQ" hidden="1">"c3820"</definedName>
    <definedName name="IQ_EST_ACT_NI" hidden="1">"c1722"</definedName>
    <definedName name="IQ_EST_ACT_NI_CIQ" hidden="1">"c4708"</definedName>
    <definedName name="IQ_EST_ACT_NI_GW_CIQ" hidden="1">"c4715"</definedName>
    <definedName name="IQ_EST_ACT_NI_REPORTED" hidden="1">"c1736"</definedName>
    <definedName name="IQ_EST_ACT_NI_REPORTED_CIQ" hidden="1">"c4722"</definedName>
    <definedName name="IQ_EST_ACT_NI_SBC" hidden="1">"c4409"</definedName>
    <definedName name="IQ_EST_ACT_NI_SBC_CIQ" hidden="1">"c4934"</definedName>
    <definedName name="IQ_EST_ACT_NI_SBC_GW" hidden="1">"c4410"</definedName>
    <definedName name="IQ_EST_ACT_NI_SBC_GW_CIQ" hidden="1">"c4935"</definedName>
    <definedName name="IQ_EST_ACT_OPER_INC" hidden="1">"c1694"</definedName>
    <definedName name="IQ_EST_ACT_OPER_INC_CIQ" hidden="1">"c12016"</definedName>
    <definedName name="IQ_EST_ACT_PRETAX_GW_INC" hidden="1">"c1708"</definedName>
    <definedName name="IQ_EST_ACT_PRETAX_GW_INC_CIQ" hidden="1">"c4694"</definedName>
    <definedName name="IQ_EST_ACT_PRETAX_INC" hidden="1">"c1701"</definedName>
    <definedName name="IQ_EST_ACT_PRETAX_INC_CIQ" hidden="1">"c4687"</definedName>
    <definedName name="IQ_EST_ACT_PRETAX_REPORT_INC" hidden="1">"c1715"</definedName>
    <definedName name="IQ_EST_ACT_PRETAX_REPORT_INC_CIQ" hidden="1">"c4701"</definedName>
    <definedName name="IQ_EST_ACT_RECURRING_PROFIT" hidden="1">"c4411"</definedName>
    <definedName name="IQ_EST_ACT_RECURRING_PROFIT_CIQ" hidden="1">"c4936"</definedName>
    <definedName name="IQ_EST_ACT_RECURRING_PROFIT_SHARE" hidden="1">"c4412"</definedName>
    <definedName name="IQ_EST_ACT_RECURRING_PROFIT_SHARE_CIQ" hidden="1">"c4937"</definedName>
    <definedName name="IQ_EST_ACT_RETURN_ASSETS" hidden="1">"c3547"</definedName>
    <definedName name="IQ_EST_ACT_RETURN_EQUITY" hidden="1">"c3548"</definedName>
    <definedName name="IQ_EST_ACT_REV" hidden="1">"c2113"</definedName>
    <definedName name="IQ_EST_ACT_REV_CIQ" hidden="1">"c3666"</definedName>
    <definedName name="IQ_EST_BV_SHARE_DIFF" hidden="1">"c4147"</definedName>
    <definedName name="IQ_EST_BV_SHARE_DIFF_CIQ" hidden="1">"c4559"</definedName>
    <definedName name="IQ_EST_BV_SHARE_SURPRISE_PERCENT" hidden="1">"c4148"</definedName>
    <definedName name="IQ_EST_BV_SHARE_SURPRISE_PERCENT_CIQ" hidden="1">"c4560"</definedName>
    <definedName name="IQ_EST_CAPEX_DIFF" hidden="1">"c4149"</definedName>
    <definedName name="IQ_EST_CAPEX_DIFF_CIQ" hidden="1">"c4561"</definedName>
    <definedName name="IQ_EST_CAPEX_GROWTH_1YR" hidden="1">"c3588"</definedName>
    <definedName name="IQ_EST_CAPEX_GROWTH_1YR_CIQ" hidden="1">"c4972"</definedName>
    <definedName name="IQ_EST_CAPEX_GROWTH_2YR" hidden="1">"c3589"</definedName>
    <definedName name="IQ_EST_CAPEX_GROWTH_2YR_CIQ" hidden="1">"c4973"</definedName>
    <definedName name="IQ_EST_CAPEX_GROWTH_Q_1YR" hidden="1">"c3590"</definedName>
    <definedName name="IQ_EST_CAPEX_GROWTH_Q_1YR_CIQ" hidden="1">"c4974"</definedName>
    <definedName name="IQ_EST_CAPEX_SEQ_GROWTH_Q" hidden="1">"c3591"</definedName>
    <definedName name="IQ_EST_CAPEX_SEQ_GROWTH_Q_CIQ" hidden="1">"c4975"</definedName>
    <definedName name="IQ_EST_CAPEX_SURPRISE_PERCENT" hidden="1">"c4151"</definedName>
    <definedName name="IQ_EST_CAPEX_SURPRISE_PERCENT_CIQ" hidden="1">"c4563"</definedName>
    <definedName name="IQ_EST_CASH_FLOW_DIFF" hidden="1">"c4152"</definedName>
    <definedName name="IQ_EST_CASH_FLOW_DIFF_CIQ" hidden="1">"c4564"</definedName>
    <definedName name="IQ_EST_CASH_FLOW_SURPRISE_PERCENT" hidden="1">"c4161"</definedName>
    <definedName name="IQ_EST_CASH_FLOW_SURPRISE_PERCENT_CIQ" hidden="1">"c4573"</definedName>
    <definedName name="IQ_EST_CASH_OPER_DIFF" hidden="1">"c4162"</definedName>
    <definedName name="IQ_EST_CASH_OPER_DIFF_CIQ" hidden="1">"c4574"</definedName>
    <definedName name="IQ_EST_CASH_OPER_SURPRISE_PERCENT" hidden="1">"c4248"</definedName>
    <definedName name="IQ_EST_CASH_OPER_SURPRISE_PERCENT_CIQ" hidden="1">"c4774"</definedName>
    <definedName name="IQ_EST_CFPS_DIFF" hidden="1">"c1871"</definedName>
    <definedName name="IQ_EST_CFPS_DIFF_CIQ" hidden="1">"c3723"</definedName>
    <definedName name="IQ_EST_CFPS_GROWTH_1YR" hidden="1">"c1774"</definedName>
    <definedName name="IQ_EST_CFPS_GROWTH_1YR_CIQ" hidden="1">"c3709"</definedName>
    <definedName name="IQ_EST_CFPS_GROWTH_2YR" hidden="1">"c1775"</definedName>
    <definedName name="IQ_EST_CFPS_GROWTH_2YR_CIQ" hidden="1">"c3710"</definedName>
    <definedName name="IQ_EST_CFPS_GROWTH_Q_1YR" hidden="1">"c1776"</definedName>
    <definedName name="IQ_EST_CFPS_GROWTH_Q_1YR_CIQ" hidden="1">"c3711"</definedName>
    <definedName name="IQ_EST_CFPS_SEQ_GROWTH_Q" hidden="1">"c1777"</definedName>
    <definedName name="IQ_EST_CFPS_SEQ_GROWTH_Q_CIQ" hidden="1">"c3712"</definedName>
    <definedName name="IQ_EST_CFPS_SURPRISE_PERCENT" hidden="1">"c1872"</definedName>
    <definedName name="IQ_EST_CFPS_SURPRISE_PERCENT_CIQ" hidden="1">"c3724"</definedName>
    <definedName name="IQ_EST_CURRENCY" hidden="1">"c2140"</definedName>
    <definedName name="IQ_EST_CURRENCY_CIQ" hidden="1">"c4769"</definedName>
    <definedName name="IQ_EST_CURRENCY_REUT" hidden="1">"c5437"</definedName>
    <definedName name="IQ_EST_DATE" hidden="1">"c1634"</definedName>
    <definedName name="IQ_EST_DATE_CIQ" hidden="1">"c4770"</definedName>
    <definedName name="IQ_EST_DATE_REUT" hidden="1">"c5438"</definedName>
    <definedName name="IQ_EST_DISTRIBUTABLE_CASH_DIFF" hidden="1">"c4276"</definedName>
    <definedName name="IQ_EST_DISTRIBUTABLE_CASH_DIFF_CIQ" hidden="1">"c4801"</definedName>
    <definedName name="IQ_EST_DISTRIBUTABLE_CASH_GROWTH_1YR" hidden="1">"c4413"</definedName>
    <definedName name="IQ_EST_DISTRIBUTABLE_CASH_GROWTH_1YR_CIQ" hidden="1">"c4938"</definedName>
    <definedName name="IQ_EST_DISTRIBUTABLE_CASH_GROWTH_2YR" hidden="1">"c4414"</definedName>
    <definedName name="IQ_EST_DISTRIBUTABLE_CASH_GROWTH_2YR_CIQ" hidden="1">"c4939"</definedName>
    <definedName name="IQ_EST_DISTRIBUTABLE_CASH_GROWTH_Q_1YR" hidden="1">"c4415"</definedName>
    <definedName name="IQ_EST_DISTRIBUTABLE_CASH_GROWTH_Q_1YR_CIQ" hidden="1">"c4940"</definedName>
    <definedName name="IQ_EST_DISTRIBUTABLE_CASH_SEQ_GROWTH_Q" hidden="1">"c4416"</definedName>
    <definedName name="IQ_EST_DISTRIBUTABLE_CASH_SEQ_GROWTH_Q_CIQ" hidden="1">"c4941"</definedName>
    <definedName name="IQ_EST_DISTRIBUTABLE_CASH_SHARE_DIFF" hidden="1">"c4284"</definedName>
    <definedName name="IQ_EST_DISTRIBUTABLE_CASH_SHARE_DIFF_CIQ" hidden="1">"c4809"</definedName>
    <definedName name="IQ_EST_DISTRIBUTABLE_CASH_SHARE_GROWTH_1YR" hidden="1">"c4417"</definedName>
    <definedName name="IQ_EST_DISTRIBUTABLE_CASH_SHARE_GROWTH_1YR_CIQ" hidden="1">"c4942"</definedName>
    <definedName name="IQ_EST_DISTRIBUTABLE_CASH_SHARE_GROWTH_2YR" hidden="1">"c4418"</definedName>
    <definedName name="IQ_EST_DISTRIBUTABLE_CASH_SHARE_GROWTH_2YR_CIQ" hidden="1">"c4943"</definedName>
    <definedName name="IQ_EST_DISTRIBUTABLE_CASH_SHARE_GROWTH_Q_1YR" hidden="1">"c4419"</definedName>
    <definedName name="IQ_EST_DISTRIBUTABLE_CASH_SHARE_GROWTH_Q_1YR_CIQ" hidden="1">"c4944"</definedName>
    <definedName name="IQ_EST_DISTRIBUTABLE_CASH_SHARE_SEQ_GROWTH_Q" hidden="1">"c4420"</definedName>
    <definedName name="IQ_EST_DISTRIBUTABLE_CASH_SHARE_SEQ_GROWTH_Q_CIQ" hidden="1">"c4945"</definedName>
    <definedName name="IQ_EST_DISTRIBUTABLE_CASH_SHARE_SURPRISE_PERCENT" hidden="1">"c4293"</definedName>
    <definedName name="IQ_EST_DISTRIBUTABLE_CASH_SHARE_SURPRISE_PERCENT_CIQ" hidden="1">"c4818"</definedName>
    <definedName name="IQ_EST_DISTRIBUTABLE_CASH_SURPRISE_PERCENT" hidden="1">"c4295"</definedName>
    <definedName name="IQ_EST_DISTRIBUTABLE_CASH_SURPRISE_PERCENT_CIQ" hidden="1">"c4820"</definedName>
    <definedName name="IQ_EST_DPS_DIFF" hidden="1">"c1873"</definedName>
    <definedName name="IQ_EST_DPS_DIFF_CIQ" hidden="1">"c3725"</definedName>
    <definedName name="IQ_EST_DPS_GROWTH_1YR" hidden="1">"c1778"</definedName>
    <definedName name="IQ_EST_DPS_GROWTH_1YR_CIQ" hidden="1">"c3713"</definedName>
    <definedName name="IQ_EST_DPS_GROWTH_2YR" hidden="1">"c1779"</definedName>
    <definedName name="IQ_EST_DPS_GROWTH_2YR_CIQ" hidden="1">"c3714"</definedName>
    <definedName name="IQ_EST_DPS_GROWTH_Q_1YR" hidden="1">"c1780"</definedName>
    <definedName name="IQ_EST_DPS_GROWTH_Q_1YR_CIQ" hidden="1">"c3715"</definedName>
    <definedName name="IQ_EST_DPS_SEQ_GROWTH_Q" hidden="1">"c1781"</definedName>
    <definedName name="IQ_EST_DPS_SEQ_GROWTH_Q_CIQ" hidden="1">"c3716"</definedName>
    <definedName name="IQ_EST_DPS_SURPRISE_PERCENT" hidden="1">"c1874"</definedName>
    <definedName name="IQ_EST_DPS_SURPRISE_PERCENT_CIQ" hidden="1">"c3726"</definedName>
    <definedName name="IQ_EST_EBIT_DIFF" hidden="1">"c1875"</definedName>
    <definedName name="IQ_EST_EBIT_DIFF_CIQ" hidden="1">"c4747"</definedName>
    <definedName name="IQ_EST_EBIT_GW_DIFF" hidden="1">"c4304"</definedName>
    <definedName name="IQ_EST_EBIT_GW_DIFF_CIQ" hidden="1">"c4829"</definedName>
    <definedName name="IQ_EST_EBIT_GW_SURPRISE_PERCENT" hidden="1">"c4313"</definedName>
    <definedName name="IQ_EST_EBIT_GW_SURPRISE_PERCENT_CIQ" hidden="1">"c4838"</definedName>
    <definedName name="IQ_EST_EBIT_SBC_DIFF" hidden="1">"c4314"</definedName>
    <definedName name="IQ_EST_EBIT_SBC_DIFF_CIQ" hidden="1">"c4839"</definedName>
    <definedName name="IQ_EST_EBIT_SBC_GW_DIFF" hidden="1">"c4318"</definedName>
    <definedName name="IQ_EST_EBIT_SBC_GW_DIFF_CIQ" hidden="1">"c4843"</definedName>
    <definedName name="IQ_EST_EBIT_SBC_GW_SURPRISE_PERCENT" hidden="1">"c4327"</definedName>
    <definedName name="IQ_EST_EBIT_SBC_GW_SURPRISE_PERCENT_CIQ" hidden="1">"c4852"</definedName>
    <definedName name="IQ_EST_EBIT_SBC_SURPRISE_PERCENT" hidden="1">"c4333"</definedName>
    <definedName name="IQ_EST_EBIT_SBC_SURPRISE_PERCENT_CIQ" hidden="1">"c4858"</definedName>
    <definedName name="IQ_EST_EBIT_SURPRISE_PERCENT" hidden="1">"c1876"</definedName>
    <definedName name="IQ_EST_EBIT_SURPRISE_PERCENT_CIQ" hidden="1">"c4748"</definedName>
    <definedName name="IQ_EST_EBITDA_DIFF" hidden="1">"c1867"</definedName>
    <definedName name="IQ_EST_EBITDA_DIFF_CIQ" hidden="1">"c3719"</definedName>
    <definedName name="IQ_EST_EBITDA_GROWTH_1YR" hidden="1">"c1766"</definedName>
    <definedName name="IQ_EST_EBITDA_GROWTH_1YR_CIQ" hidden="1">"c3695"</definedName>
    <definedName name="IQ_EST_EBITDA_GROWTH_2YR" hidden="1">"c1767"</definedName>
    <definedName name="IQ_EST_EBITDA_GROWTH_2YR_CIQ" hidden="1">"c3696"</definedName>
    <definedName name="IQ_EST_EBITDA_GROWTH_Q_1YR" hidden="1">"c1768"</definedName>
    <definedName name="IQ_EST_EBITDA_GROWTH_Q_1YR_CIQ" hidden="1">"c3697"</definedName>
    <definedName name="IQ_EST_EBITDA_SBC_DIFF" hidden="1">"c4335"</definedName>
    <definedName name="IQ_EST_EBITDA_SBC_DIFF_CIQ" hidden="1">"c4860"</definedName>
    <definedName name="IQ_EST_EBITDA_SBC_SURPRISE_PERCENT" hidden="1">"c4344"</definedName>
    <definedName name="IQ_EST_EBITDA_SBC_SURPRISE_PERCENT_CIQ" hidden="1">"c4869"</definedName>
    <definedName name="IQ_EST_EBITDA_SEQ_GROWTH_Q" hidden="1">"c1769"</definedName>
    <definedName name="IQ_EST_EBITDA_SEQ_GROWTH_Q_CIQ" hidden="1">"c3698"</definedName>
    <definedName name="IQ_EST_EBITDA_SURPRISE_PERCENT" hidden="1">"c1868"</definedName>
    <definedName name="IQ_EST_EBITDA_SURPRISE_PERCENT_CIQ" hidden="1">"c3720"</definedName>
    <definedName name="IQ_EST_EBT_SBC_DIFF" hidden="1">"c4348"</definedName>
    <definedName name="IQ_EST_EBT_SBC_DIFF_CIQ" hidden="1">"c4873"</definedName>
    <definedName name="IQ_EST_EBT_SBC_GW_DIFF" hidden="1">"c4352"</definedName>
    <definedName name="IQ_EST_EBT_SBC_GW_DIFF_CIQ" hidden="1">"c4877"</definedName>
    <definedName name="IQ_EST_EBT_SBC_GW_SURPRISE_PERCENT" hidden="1">"c4361"</definedName>
    <definedName name="IQ_EST_EBT_SBC_GW_SURPRISE_PERCENT_CIQ" hidden="1">"c4886"</definedName>
    <definedName name="IQ_EST_EBT_SBC_SURPRISE_PERCENT" hidden="1">"c4367"</definedName>
    <definedName name="IQ_EST_EBT_SBC_SURPRISE_PERCENT_CIQ" hidden="1">"c4892"</definedName>
    <definedName name="IQ_EST_EPS_DIFF" hidden="1">"c1864"</definedName>
    <definedName name="IQ_EST_EPS_DIFF_CIQ" hidden="1">"c4999"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2YR" hidden="1">"c1637"</definedName>
    <definedName name="IQ_EST_EPS_GROWTH_2YR_CIQ" hidden="1">"c3689"</definedName>
    <definedName name="IQ_EST_EPS_GROWTH_5YR" hidden="1">"c1655"</definedName>
    <definedName name="IQ_EST_EPS_GROWTH_5YR_BOTTOM_UP" hidden="1">"c5487"</definedName>
    <definedName name="IQ_EST_EPS_GROWTH_5YR_BOTTOM_UP_CIQ" hidden="1">"c12024"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LOW" hidden="1">"c1658"</definedName>
    <definedName name="IQ_EST_EPS_GROWTH_5YR_LOW_CIQ" hidden="1">"c4664"</definedName>
    <definedName name="IQ_EST_EPS_GROWTH_5YR_MEDIAN" hidden="1">"c1656"</definedName>
    <definedName name="IQ_EST_EPS_GROWTH_5YR_MEDIAN_CIQ" hidden="1">"c5480"</definedName>
    <definedName name="IQ_EST_EPS_GROWTH_5YR_NUM" hidden="1">"c1659"</definedName>
    <definedName name="IQ_EST_EPS_GROWTH_5YR_NUM_CIQ" hidden="1">"c4665"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SBC_DIFF" hidden="1">"c4374"</definedName>
    <definedName name="IQ_EST_EPS_SBC_DIFF_CIQ" hidden="1">"c4899"</definedName>
    <definedName name="IQ_EST_EPS_SBC_GW_DIFF" hidden="1">"c4378"</definedName>
    <definedName name="IQ_EST_EPS_SBC_GW_DIFF_CIQ" hidden="1">"c4903"</definedName>
    <definedName name="IQ_EST_EPS_SBC_GW_SURPRISE_PERCENT" hidden="1">"c4387"</definedName>
    <definedName name="IQ_EST_EPS_SBC_GW_SURPRISE_PERCENT_CIQ" hidden="1">"c4912"</definedName>
    <definedName name="IQ_EST_EPS_SBC_SURPRISE_PERCENT" hidden="1">"c4393"</definedName>
    <definedName name="IQ_EST_EPS_SBC_SURPRISE_PERCENT_CIQ" hidden="1">"c4918"</definedName>
    <definedName name="IQ_EST_EPS_SEQ_GROWTH_Q" hidden="1">"c1764"</definedName>
    <definedName name="IQ_EST_EPS_SEQ_GROWTH_Q_CIQ" hidden="1">"c3690"</definedName>
    <definedName name="IQ_EST_EPS_SURPRISE_PERCENT" hidden="1">"c1635"</definedName>
    <definedName name="IQ_EST_EPS_SURPRISE_PERCENT_CIQ" hidden="1">"c5000"</definedName>
    <definedName name="IQ_EST_FFO_ADJ_DIFF" hidden="1">"c4433"</definedName>
    <definedName name="IQ_EST_FFO_ADJ_DIFF_CIQ" hidden="1">"c4958"</definedName>
    <definedName name="IQ_EST_FFO_ADJ_GROWTH_1YR" hidden="1">"c4421"</definedName>
    <definedName name="IQ_EST_FFO_ADJ_GROWTH_1YR_CIQ" hidden="1">"c4946"</definedName>
    <definedName name="IQ_EST_FFO_ADJ_GROWTH_2YR" hidden="1">"c4422"</definedName>
    <definedName name="IQ_EST_FFO_ADJ_GROWTH_2YR_CIQ" hidden="1">"c4947"</definedName>
    <definedName name="IQ_EST_FFO_ADJ_GROWTH_Q_1YR" hidden="1">"c4423"</definedName>
    <definedName name="IQ_EST_FFO_ADJ_GROWTH_Q_1YR_CIQ" hidden="1">"c4948"</definedName>
    <definedName name="IQ_EST_FFO_ADJ_SEQ_GROWTH_Q" hidden="1">"c4424"</definedName>
    <definedName name="IQ_EST_FFO_ADJ_SEQ_GROWTH_Q_CIQ" hidden="1">"c4949"</definedName>
    <definedName name="IQ_EST_FFO_ADJ_SURPRISE_PERCENT" hidden="1">"c4442"</definedName>
    <definedName name="IQ_EST_FFO_ADJ_SURPRISE_PERCENT_CIQ" hidden="1">"c4967"</definedName>
    <definedName name="IQ_EST_FFO_DIFF" hidden="1">"c1869"</definedName>
    <definedName name="IQ_EST_FFO_DIFF_CIQ" hidden="1">"c3721"</definedName>
    <definedName name="IQ_EST_FFO_GROWTH_1YR" hidden="1">"c1770"</definedName>
    <definedName name="IQ_EST_FFO_GROWTH_1YR_CIQ" hidden="1">"c3705"</definedName>
    <definedName name="IQ_EST_FFO_GROWTH_2YR" hidden="1">"c1771"</definedName>
    <definedName name="IQ_EST_FFO_GROWTH_2YR_CIQ" hidden="1">"c3706"</definedName>
    <definedName name="IQ_EST_FFO_GROWTH_Q_1YR" hidden="1">"c1772"</definedName>
    <definedName name="IQ_EST_FFO_GROWTH_Q_1YR_CIQ" hidden="1">"c3707"</definedName>
    <definedName name="IQ_EST_FFO_SEQ_GROWTH_Q" hidden="1">"c1773"</definedName>
    <definedName name="IQ_EST_FFO_SEQ_GROWTH_Q_CIQ" hidden="1">"c3708"</definedName>
    <definedName name="IQ_EST_FFO_SHARE_DIFF" hidden="1">"c4444"</definedName>
    <definedName name="IQ_EST_FFO_SHARE_DIFF_CIQ" hidden="1">"c4969"</definedName>
    <definedName name="IQ_EST_FFO_SHARE_GROWTH_1YR" hidden="1">"c4425"</definedName>
    <definedName name="IQ_EST_FFO_SHARE_GROWTH_1YR_CIQ" hidden="1">"c4950"</definedName>
    <definedName name="IQ_EST_FFO_SHARE_GROWTH_2YR" hidden="1">"c4426"</definedName>
    <definedName name="IQ_EST_FFO_SHARE_GROWTH_2YR_CIQ" hidden="1">"c4951"</definedName>
    <definedName name="IQ_EST_FFO_SHARE_GROWTH_Q_1YR" hidden="1">"c4427"</definedName>
    <definedName name="IQ_EST_FFO_SHARE_GROWTH_Q_1YR_CIQ" hidden="1">"c4952"</definedName>
    <definedName name="IQ_EST_FFO_SHARE_SEQ_GROWTH_Q" hidden="1">"c4428"</definedName>
    <definedName name="IQ_EST_FFO_SHARE_SEQ_GROWTH_Q_CIQ" hidden="1">"c4953"</definedName>
    <definedName name="IQ_EST_FFO_SHARE_SURPRISE_PERCENT" hidden="1">"c4453"</definedName>
    <definedName name="IQ_EST_FFO_SHARE_SURPRISE_PERCENT_CIQ" hidden="1">"c4982"</definedName>
    <definedName name="IQ_EST_FFO_SURPRISE_PERCENT" hidden="1">"c1870"</definedName>
    <definedName name="IQ_EST_FFO_SURPRISE_PERCENT_CIQ" hidden="1">"c3722"</definedName>
    <definedName name="IQ_EST_FOOTNOTE" hidden="1">"c4540"</definedName>
    <definedName name="IQ_EST_FOOTNOTE_CIQ" hidden="1">"c12022"</definedName>
    <definedName name="IQ_EST_MAINT_CAPEX_DIFF" hidden="1">"c4456"</definedName>
    <definedName name="IQ_EST_MAINT_CAPEX_DIFF_CIQ" hidden="1">"c4985"</definedName>
    <definedName name="IQ_EST_MAINT_CAPEX_GROWTH_1YR" hidden="1">"c4429"</definedName>
    <definedName name="IQ_EST_MAINT_CAPEX_GROWTH_1YR_CIQ" hidden="1">"c4954"</definedName>
    <definedName name="IQ_EST_MAINT_CAPEX_GROWTH_2YR" hidden="1">"c4430"</definedName>
    <definedName name="IQ_EST_MAINT_CAPEX_GROWTH_2YR_CIQ" hidden="1">"c4955"</definedName>
    <definedName name="IQ_EST_MAINT_CAPEX_GROWTH_Q_1YR" hidden="1">"c4431"</definedName>
    <definedName name="IQ_EST_MAINT_CAPEX_GROWTH_Q_1YR_CIQ" hidden="1">"c4956"</definedName>
    <definedName name="IQ_EST_MAINT_CAPEX_SEQ_GROWTH_Q" hidden="1">"c4432"</definedName>
    <definedName name="IQ_EST_MAINT_CAPEX_SEQ_GROWTH_Q_CIQ" hidden="1">"c4957"</definedName>
    <definedName name="IQ_EST_MAINT_CAPEX_SURPRISE_PERCENT" hidden="1">"c4465"</definedName>
    <definedName name="IQ_EST_MAINT_CAPEX_SURPRISE_PERCENT_CIQ" hidden="1">"c5003"</definedName>
    <definedName name="IQ_EST_NAV_DIFF" hidden="1">"c1895"</definedName>
    <definedName name="IQ_EST_NAV_SHARE_SURPRISE_PERCENT" hidden="1">"c1896"</definedName>
    <definedName name="IQ_EST_NAV_SURPRISE_PERCENT" hidden="1">"c12040"</definedName>
    <definedName name="IQ_EST_NET_DEBT_DIFF" hidden="1">"c4466"</definedName>
    <definedName name="IQ_EST_NET_DEBT_DIFF_CIQ" hidden="1">"c5004"</definedName>
    <definedName name="IQ_EST_NET_DEBT_SURPRISE_PERCENT" hidden="1">"c4468"</definedName>
    <definedName name="IQ_EST_NET_DEBT_SURPRISE_PERCENT_CIQ" hidden="1">"c5006"</definedName>
    <definedName name="IQ_EST_NI_DIFF" hidden="1">"c1885"</definedName>
    <definedName name="IQ_EST_NI_DIFF_CIQ" hidden="1">"c4755"</definedName>
    <definedName name="IQ_EST_NI_GW_DIFF_CIQ" hidden="1">"c4757"</definedName>
    <definedName name="IQ_EST_NI_GW_SURPRISE_PERCENT_CIQ" hidden="1">"c4758"</definedName>
    <definedName name="IQ_EST_NI_REPORT_DIFF" hidden="1">"c1889"</definedName>
    <definedName name="IQ_EST_NI_REPORT_DIFF_CIQ" hidden="1">"c4759"</definedName>
    <definedName name="IQ_EST_NI_REPORT_SURPRISE_PERCENT" hidden="1">"c1890"</definedName>
    <definedName name="IQ_EST_NI_REPORT_SURPRISE_PERCENT_CIQ" hidden="1">"c4760"</definedName>
    <definedName name="IQ_EST_NI_SBC_DIFF" hidden="1">"c4472"</definedName>
    <definedName name="IQ_EST_NI_SBC_DIFF_CIQ" hidden="1">"c5010"</definedName>
    <definedName name="IQ_EST_NI_SBC_GW_DIFF" hidden="1">"c4476"</definedName>
    <definedName name="IQ_EST_NI_SBC_GW_DIFF_CIQ" hidden="1">"c5014"</definedName>
    <definedName name="IQ_EST_NI_SBC_GW_SURPRISE_PERCENT" hidden="1">"c4485"</definedName>
    <definedName name="IQ_EST_NI_SBC_GW_SURPRISE_PERCENT_CIQ" hidden="1">"c5023"</definedName>
    <definedName name="IQ_EST_NI_SBC_SURPRISE_PERCENT" hidden="1">"c4491"</definedName>
    <definedName name="IQ_EST_NI_SBC_SURPRISE_PERCENT_CIQ" hidden="1">"c5029"</definedName>
    <definedName name="IQ_EST_NI_SURPRISE_PERCENT" hidden="1">"c1886"</definedName>
    <definedName name="IQ_EST_NI_SURPRISE_PERCENT_CIQ" hidden="1">"c4756"</definedName>
    <definedName name="IQ_EST_NUM_BUY" hidden="1">"c1759"</definedName>
    <definedName name="IQ_EST_NUM_HIGH_REC" hidden="1">"c5649"</definedName>
    <definedName name="IQ_EST_NUM_HIGH_REC_CIQ" hidden="1">"c3701"</definedName>
    <definedName name="IQ_EST_NUM_HIGHEST_REC" hidden="1">"c5648"</definedName>
    <definedName name="IQ_EST_NUM_HIGHEST_REC_CIQ" hidden="1">"c3700"</definedName>
    <definedName name="IQ_EST_NUM_HOLD" hidden="1">"c1761"</definedName>
    <definedName name="IQ_EST_NUM_LOW_REC" hidden="1">"c5651"</definedName>
    <definedName name="IQ_EST_NUM_LOW_REC_CIQ" hidden="1">"c3703"</definedName>
    <definedName name="IQ_EST_NUM_LOWEST_REC" hidden="1">"c5652"</definedName>
    <definedName name="IQ_EST_NUM_LOWEST_REC_CIQ" hidden="1">"c3704"</definedName>
    <definedName name="IQ_EST_NUM_NEUTRAL_REC" hidden="1">"c5650"</definedName>
    <definedName name="IQ_EST_NUM_NEUTRAL_REC_CIQ" hidden="1">"c3702"</definedName>
    <definedName name="IQ_EST_NUM_NO_OPINION" hidden="1">"c1758"</definedName>
    <definedName name="IQ_EST_NUM_NO_OPINION_CIQ" hidden="1">"c3699"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DIFF_CIQ" hidden="1">"c12017"</definedName>
    <definedName name="IQ_EST_OPER_INC_SURPRISE_PERCENT" hidden="1">"c1878"</definedName>
    <definedName name="IQ_EST_OPER_INC_SURPRISE_PERCENT_CIQ" hidden="1">"c12018"</definedName>
    <definedName name="IQ_EST_PRE_TAX_DIFF" hidden="1">"c1879"</definedName>
    <definedName name="IQ_EST_PRE_TAX_DIFF_CIQ" hidden="1">"c4749"</definedName>
    <definedName name="IQ_EST_PRE_TAX_GW_DIFF" hidden="1">"c1881"</definedName>
    <definedName name="IQ_EST_PRE_TAX_GW_DIFF_CIQ" hidden="1">"c4751"</definedName>
    <definedName name="IQ_EST_PRE_TAX_GW_SURPRISE_PERCENT" hidden="1">"c1882"</definedName>
    <definedName name="IQ_EST_PRE_TAX_GW_SURPRISE_PERCENT_CIQ" hidden="1">"c4752"</definedName>
    <definedName name="IQ_EST_PRE_TAX_REPORT_DIFF" hidden="1">"c1883"</definedName>
    <definedName name="IQ_EST_PRE_TAX_REPORT_DIFF_CIQ" hidden="1">"c4753"</definedName>
    <definedName name="IQ_EST_PRE_TAX_REPORT_SURPRISE_PERCENT" hidden="1">"c1884"</definedName>
    <definedName name="IQ_EST_PRE_TAX_REPORT_SURPRISE_PERCENT_CIQ" hidden="1">"c4754"</definedName>
    <definedName name="IQ_EST_PRE_TAX_SURPRISE_PERCENT" hidden="1">"c1880"</definedName>
    <definedName name="IQ_EST_PRE_TAX_SURPRISE_PERCENT_CIQ" hidden="1">"c4750"</definedName>
    <definedName name="IQ_EST_RECURRING_PROFIT_SHARE_DIFF" hidden="1">"c4505"</definedName>
    <definedName name="IQ_EST_RECURRING_PROFIT_SHARE_DIFF_CIQ" hidden="1">"c5043"</definedName>
    <definedName name="IQ_EST_RECURRING_PROFIT_SHARE_SURPRISE_PERCENT" hidden="1">"c4515"</definedName>
    <definedName name="IQ_EST_RECURRING_PROFIT_SHARE_SURPRISE_PERCENT_CIQ" hidden="1">"c5053"</definedName>
    <definedName name="IQ_EST_REV_DIFF" hidden="1">"c1865"</definedName>
    <definedName name="IQ_EST_REV_DIFF_CIQ" hidden="1">"c3717"</definedName>
    <definedName name="IQ_EST_REV_GROWTH_1YR" hidden="1">"c1638"</definedName>
    <definedName name="IQ_EST_REV_GROWTH_1YR_CIQ" hidden="1">"c3691"</definedName>
    <definedName name="IQ_EST_REV_GROWTH_2YR" hidden="1">"c1639"</definedName>
    <definedName name="IQ_EST_REV_GROWTH_2YR_CIQ" hidden="1">"c3692"</definedName>
    <definedName name="IQ_EST_REV_GROWTH_Q_1YR" hidden="1">"c1640"</definedName>
    <definedName name="IQ_EST_REV_GROWTH_Q_1YR_CIQ" hidden="1">"c3693"</definedName>
    <definedName name="IQ_EST_REV_SEQ_GROWTH_Q" hidden="1">"c1765"</definedName>
    <definedName name="IQ_EST_REV_SEQ_GROWTH_Q_CIQ" hidden="1">"c3694"</definedName>
    <definedName name="IQ_EST_REV_SURPRISE_PERCENT" hidden="1">"c1866"</definedName>
    <definedName name="IQ_EST_REV_SURPRISE_PERCENT_CIQ" hidden="1">"c3718"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_UNUSED_UNUSED" hidden="1">"c8401"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" hidden="1">"c11931"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" hidden="1">"c11932"</definedName>
    <definedName name="IQ_EXPORTS_GOODS_REAL_SAAR_YOY_FC_UNUSED_UNUSED_UNUSED" hidden="1">"c8292"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_UNUSED_UNUSED" hidden="1">"c7961"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_UNUSED_UNUSED" hidden="1">"c8296"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"c413"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ADJ_EST" hidden="1">"c4434"</definedName>
    <definedName name="IQ_FFO_ADJ_EST_CIQ" hidden="1">"c4959"</definedName>
    <definedName name="IQ_FFO_ADJ_GUIDANCE" hidden="1">"c4436"</definedName>
    <definedName name="IQ_FFO_ADJ_GUIDANCE_CIQ" hidden="1">"c4961"</definedName>
    <definedName name="IQ_FFO_ADJ_HIGH_EST" hidden="1">"c4437"</definedName>
    <definedName name="IQ_FFO_ADJ_HIGH_EST_CIQ" hidden="1">"c4962"</definedName>
    <definedName name="IQ_FFO_ADJ_HIGH_GUIDANCE" hidden="1">"c4202"</definedName>
    <definedName name="IQ_FFO_ADJ_HIGH_GUIDANCE_CIQ" hidden="1">"c4614"</definedName>
    <definedName name="IQ_FFO_ADJ_LOW_EST" hidden="1">"c4438"</definedName>
    <definedName name="IQ_FFO_ADJ_LOW_EST_CIQ" hidden="1">"c4963"</definedName>
    <definedName name="IQ_FFO_ADJ_LOW_GUIDANCE" hidden="1">"c4242"</definedName>
    <definedName name="IQ_FFO_ADJ_LOW_GUIDANCE_CIQ" hidden="1">"c4654"</definedName>
    <definedName name="IQ_FFO_ADJ_MEDIAN_EST" hidden="1">"c4439"</definedName>
    <definedName name="IQ_FFO_ADJ_MEDIAN_EST_CIQ" hidden="1">"c4964"</definedName>
    <definedName name="IQ_FFO_ADJ_NUM_EST" hidden="1">"c4440"</definedName>
    <definedName name="IQ_FFO_ADJ_NUM_EST_CIQ" hidden="1">"c4965"</definedName>
    <definedName name="IQ_FFO_ADJ_STDDEV_EST" hidden="1">"c4441"</definedName>
    <definedName name="IQ_FFO_ADJ_STDDEV_EST_CIQ" hidden="1">"c4966"</definedName>
    <definedName name="IQ_FFO_EST" hidden="1">"c418"</definedName>
    <definedName name="IQ_FFO_EST_CIQ" hidden="1">"c3668"</definedName>
    <definedName name="IQ_FFO_GUIDANCE" hidden="1">"c4443"</definedName>
    <definedName name="IQ_FFO_GUIDANCE_CIQ" hidden="1">"c4968"</definedName>
    <definedName name="IQ_FFO_HIGH_EST" hidden="1">"c419"</definedName>
    <definedName name="IQ_FFO_HIGH_EST_CIQ" hidden="1">"c3670"</definedName>
    <definedName name="IQ_FFO_HIGH_GUIDANCE" hidden="1">"c4184"</definedName>
    <definedName name="IQ_FFO_HIGH_GUIDANCE_CIQ" hidden="1">"c4596"</definedName>
    <definedName name="IQ_FFO_LOW_EST" hidden="1">"c420"</definedName>
    <definedName name="IQ_FFO_LOW_EST_CIQ" hidden="1">"c3671"</definedName>
    <definedName name="IQ_FFO_LOW_GUIDANCE" hidden="1">"c4224"</definedName>
    <definedName name="IQ_FFO_LOW_GUIDANCE_CIQ" hidden="1">"c4636"</definedName>
    <definedName name="IQ_FFO_MEDIAN_EST" hidden="1">"c1665"</definedName>
    <definedName name="IQ_FFO_MEDIAN_EST_CIQ" hidden="1">"c3669"</definedName>
    <definedName name="IQ_FFO_NUM_EST" hidden="1">"c421"</definedName>
    <definedName name="IQ_FFO_NUM_EST_CIQ" hidden="1">"c3672"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HARE_EST" hidden="1">"c4445"</definedName>
    <definedName name="IQ_FFO_SHARE_EST_CIQ" hidden="1">"c4970"</definedName>
    <definedName name="IQ_FFO_SHARE_GUIDANCE" hidden="1">"c4447"</definedName>
    <definedName name="IQ_FFO_SHARE_GUIDANCE_CIQ" hidden="1">"c4976"</definedName>
    <definedName name="IQ_FFO_SHARE_HIGH_EST" hidden="1">"c4448"</definedName>
    <definedName name="IQ_FFO_SHARE_HIGH_EST_CIQ" hidden="1">"c4977"</definedName>
    <definedName name="IQ_FFO_SHARE_HIGH_GUIDANCE" hidden="1">"c4203"</definedName>
    <definedName name="IQ_FFO_SHARE_HIGH_GUIDANCE_CIQ" hidden="1">"c4615"</definedName>
    <definedName name="IQ_FFO_SHARE_LOW_EST" hidden="1">"c4449"</definedName>
    <definedName name="IQ_FFO_SHARE_LOW_EST_CIQ" hidden="1">"c4978"</definedName>
    <definedName name="IQ_FFO_SHARE_LOW_GUIDANCE" hidden="1">"c4243"</definedName>
    <definedName name="IQ_FFO_SHARE_LOW_GUIDANCE_CIQ" hidden="1">"c4655"</definedName>
    <definedName name="IQ_FFO_SHARE_MEDIAN_EST" hidden="1">"c4450"</definedName>
    <definedName name="IQ_FFO_SHARE_MEDIAN_EST_CIQ" hidden="1">"c4979"</definedName>
    <definedName name="IQ_FFO_SHARE_NUM_EST" hidden="1">"c4451"</definedName>
    <definedName name="IQ_FFO_SHARE_NUM_EST_CIQ" hidden="1">"c4980"</definedName>
    <definedName name="IQ_FFO_SHARE_STDDEV_EST" hidden="1">"c4452"</definedName>
    <definedName name="IQ_FFO_SHARE_STDDEV_EST_CIQ" hidden="1">"c4981"</definedName>
    <definedName name="IQ_FFO_STDDEV_EST" hidden="1">"c422"</definedName>
    <definedName name="IQ_FFO_STDDEV_EST_CIQ" hidden="1">"c3673"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"c893"</definedName>
    <definedName name="IQ_FINANCING_CASH_SUPPL" hidden="1">"c899"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REUT" hidden="1">"c6798"</definedName>
    <definedName name="IQ_FISCAL_Y" hidden="1">"c441"</definedName>
    <definedName name="IQ_FISCAL_Y_EST" hidden="1">"c6795"</definedName>
    <definedName name="IQ_FISCAL_Y_EST_CIQ" hidden="1">"c6807"</definedName>
    <definedName name="IQ_FISCAL_Y_EST_REUT" hidden="1">"c6799"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_UNUSED_UNUSED" hidden="1">"c8298"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"c192"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MARGIN_ACT_OR_EST" hidden="1">"c5554"</definedName>
    <definedName name="IQ_GROSS_MARGIN_EST" hidden="1">"c5547"</definedName>
    <definedName name="IQ_GROSS_MARGIN_HIGH_EST" hidden="1">"c5549"</definedName>
    <definedName name="IQ_GROSS_MARGIN_LOW_EST" hidden="1">"c5550"</definedName>
    <definedName name="IQ_GROSS_MARGIN_MEDIAN_EST" hidden="1">"c5548"</definedName>
    <definedName name="IQ_GROSS_MARGIN_NUM_EST" hidden="1">"c5551"</definedName>
    <definedName name="IQ_GROSS_MARGIN_STDDEV_EST" hidden="1">"c5552"</definedName>
    <definedName name="IQ_GROSS_PC_EARNED" hidden="1">"c2747"</definedName>
    <definedName name="IQ_GROSS_PROFIT" hidden="1">"c511"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_UNUSED_UNUSED" hidden="1">"c8209"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"c1304"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EST" hidden="1">"c4457"</definedName>
    <definedName name="IQ_MAINT_CAPEX_EST_CIQ" hidden="1">"c4986"</definedName>
    <definedName name="IQ_MAINT_CAPEX_GUIDANCE" hidden="1">"c4459"</definedName>
    <definedName name="IQ_MAINT_CAPEX_GUIDANCE_CIQ" hidden="1">"c4988"</definedName>
    <definedName name="IQ_MAINT_CAPEX_HIGH_EST" hidden="1">"c4460"</definedName>
    <definedName name="IQ_MAINT_CAPEX_HIGH_EST_CIQ" hidden="1">"c4989"</definedName>
    <definedName name="IQ_MAINT_CAPEX_HIGH_GUIDANCE" hidden="1">"c4197"</definedName>
    <definedName name="IQ_MAINT_CAPEX_HIGH_GUIDANCE_CIQ" hidden="1">"c4609"</definedName>
    <definedName name="IQ_MAINT_CAPEX_LOW_EST" hidden="1">"c4461"</definedName>
    <definedName name="IQ_MAINT_CAPEX_LOW_EST_CIQ" hidden="1">"c4990"</definedName>
    <definedName name="IQ_MAINT_CAPEX_LOW_GUIDANCE" hidden="1">"c4237"</definedName>
    <definedName name="IQ_MAINT_CAPEX_LOW_GUIDANCE_CIQ" hidden="1">"c4649"</definedName>
    <definedName name="IQ_MAINT_CAPEX_MEDIAN_EST" hidden="1">"c4462"</definedName>
    <definedName name="IQ_MAINT_CAPEX_MEDIAN_EST_CIQ" hidden="1">"c4991"</definedName>
    <definedName name="IQ_MAINT_CAPEX_NUM_EST" hidden="1">"c4463"</definedName>
    <definedName name="IQ_MAINT_CAPEX_NUM_EST_CIQ" hidden="1">"c5001"</definedName>
    <definedName name="IQ_MAINT_CAPEX_STDDEV_EST" hidden="1">"c4464"</definedName>
    <definedName name="IQ_MAINT_CAPEX_STDDEV_EST_CIQ" hidden="1">"c5002"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ULTIFAMILY_RESIDENTIAL_LOANS_FDIC" hidden="1">"c6311"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HARE_ACT_OR_EST" hidden="1">"c2225"</definedName>
    <definedName name="IQ_NAV_SHARE_ACT_OR_EST_CIQ" hidden="1">"c12038"</definedName>
    <definedName name="IQ_NAV_SHARE_EST" hidden="1">"c5609"</definedName>
    <definedName name="IQ_NAV_SHARE_EST_CIQ" hidden="1">"c12032"</definedName>
    <definedName name="IQ_NAV_SHARE_HIGH_EST" hidden="1">"c5612"</definedName>
    <definedName name="IQ_NAV_SHARE_HIGH_EST_CIQ" hidden="1">"c12035"</definedName>
    <definedName name="IQ_NAV_SHARE_LOW_EST" hidden="1">"c5613"</definedName>
    <definedName name="IQ_NAV_SHARE_LOW_EST_CIQ" hidden="1">"c12036"</definedName>
    <definedName name="IQ_NAV_SHARE_MEDIAN_EST" hidden="1">"c5610"</definedName>
    <definedName name="IQ_NAV_SHARE_MEDIAN_EST_CIQ" hidden="1">"c12033"</definedName>
    <definedName name="IQ_NAV_SHARE_NUM_EST" hidden="1">"c5614"</definedName>
    <definedName name="IQ_NAV_SHARE_NUM_EST_CIQ" hidden="1">"c12037"</definedName>
    <definedName name="IQ_NAV_SHARE_STDDEV_EST" hidden="1">"c5611"</definedName>
    <definedName name="IQ_NAV_SHARE_STDDEV_EST_CIQ" hidden="1">"c12034"</definedName>
    <definedName name="IQ_NAV_STDDEV_EST" hidden="1">"c1756"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CIQ" hidden="1">"c5070"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CIQ" hidden="1">"c3814"</definedName>
    <definedName name="IQ_NET_DEBT_GUIDANCE" hidden="1">"c4467"</definedName>
    <definedName name="IQ_NET_DEBT_GUIDANCE_CIQ" hidden="1">"c5005"</definedName>
    <definedName name="IQ_NET_DEBT_HIGH_EST" hidden="1">"c3518"</definedName>
    <definedName name="IQ_NET_DEBT_HIGH_EST_CIQ" hidden="1">"c3816"</definedName>
    <definedName name="IQ_NET_DEBT_HIGH_GUIDANCE" hidden="1">"c4181"</definedName>
    <definedName name="IQ_NET_DEBT_HIGH_GUIDANCE_CIQ" hidden="1">"c4593"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CIQ" hidden="1">"c3817"</definedName>
    <definedName name="IQ_NET_DEBT_LOW_GUIDANCE" hidden="1">"c4221"</definedName>
    <definedName name="IQ_NET_DEBT_LOW_GUIDANCE_CIQ" hidden="1">"c4633"</definedName>
    <definedName name="IQ_NET_DEBT_MEDIAN_EST" hidden="1">"c3520"</definedName>
    <definedName name="IQ_NET_DEBT_MEDIAN_EST_CIQ" hidden="1">"c3815"</definedName>
    <definedName name="IQ_NET_DEBT_NUM_EST" hidden="1">"c3515"</definedName>
    <definedName name="IQ_NET_DEBT_NUM_EST_CIQ" hidden="1">"c3818"</definedName>
    <definedName name="IQ_NET_DEBT_STDDEV_EST" hidden="1">"c3516"</definedName>
    <definedName name="IQ_NET_DEBT_STDDEV_EST_CIQ" hidden="1">"c3819"</definedName>
    <definedName name="IQ_NET_EARNED" hidden="1">"c2734"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CIQ" hidden="1">"c5065"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EST_CIQ" hidden="1">"c4702"</definedName>
    <definedName name="IQ_NI_GAAP_GUIDANCE" hidden="1">"c4470"</definedName>
    <definedName name="IQ_NI_GAAP_GUIDANCE_CIQ" hidden="1">"c5008"</definedName>
    <definedName name="IQ_NI_GAAP_HIGH_GUIDANCE" hidden="1">"c4177"</definedName>
    <definedName name="IQ_NI_GAAP_HIGH_GUIDANCE_CIQ" hidden="1">"c4589"</definedName>
    <definedName name="IQ_NI_GAAP_LOW_GUIDANCE" hidden="1">"c4217"</definedName>
    <definedName name="IQ_NI_GAAP_LOW_GUIDANCE_CIQ" hidden="1">"c4629"</definedName>
    <definedName name="IQ_NI_GUIDANCE" hidden="1">"c4469"</definedName>
    <definedName name="IQ_NI_GUIDANCE_CIQ" hidden="1">"c5007"</definedName>
    <definedName name="IQ_NI_GW_EST_CIQ" hidden="1">"c4709"</definedName>
    <definedName name="IQ_NI_GW_GUIDANCE" hidden="1">"c4471"</definedName>
    <definedName name="IQ_NI_GW_GUIDANCE_CIQ" hidden="1">"c5009"</definedName>
    <definedName name="IQ_NI_GW_HIGH_EST_CIQ" hidden="1">"c4711"</definedName>
    <definedName name="IQ_NI_GW_HIGH_GUIDANCE" hidden="1">"c4178"</definedName>
    <definedName name="IQ_NI_GW_HIGH_GUIDANCE_CIQ" hidden="1">"c4590"</definedName>
    <definedName name="IQ_NI_GW_LOW_EST_CIQ" hidden="1">"c4712"</definedName>
    <definedName name="IQ_NI_GW_LOW_GUIDANCE" hidden="1">"c4218"</definedName>
    <definedName name="IQ_NI_GW_LOW_GUIDANCE_CIQ" hidden="1">"c4630"</definedName>
    <definedName name="IQ_NI_GW_MEDIAN_EST_CIQ" hidden="1">"c4710"</definedName>
    <definedName name="IQ_NI_GW_NUM_EST_CIQ" hidden="1">"c4713"</definedName>
    <definedName name="IQ_NI_GW_STDDEV_EST_CIQ" hidden="1">"c4714"</definedName>
    <definedName name="IQ_NI_HIGH_EST" hidden="1">"c1718"</definedName>
    <definedName name="IQ_NI_HIGH_EST_CIQ" hidden="1">"c4704"</definedName>
    <definedName name="IQ_NI_HIGH_GUIDANCE" hidden="1">"c4176"</definedName>
    <definedName name="IQ_NI_HIGH_GUIDANCE_CIQ" hidden="1">"c4588"</definedName>
    <definedName name="IQ_NI_LOW_EST" hidden="1">"c1719"</definedName>
    <definedName name="IQ_NI_LOW_EST_CIQ" hidden="1">"c4705"</definedName>
    <definedName name="IQ_NI_LOW_GUIDANCE" hidden="1">"c4216"</definedName>
    <definedName name="IQ_NI_LOW_GUIDANCE_CIQ" hidden="1">"c4628"</definedName>
    <definedName name="IQ_NI_MARGIN" hidden="1">"c794"</definedName>
    <definedName name="IQ_NI_MEDIAN_EST" hidden="1">"c1717"</definedName>
    <definedName name="IQ_NI_MEDIAN_EST_CIQ" hidden="1">"c4703"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CIQ" hidden="1">"c4706"</definedName>
    <definedName name="IQ_NI_REPORTED_EST" hidden="1">"c1730"</definedName>
    <definedName name="IQ_NI_REPORTED_EST_CIQ" hidden="1">"c4716"</definedName>
    <definedName name="IQ_NI_REPORTED_HIGH_EST" hidden="1">"c1732"</definedName>
    <definedName name="IQ_NI_REPORTED_HIGH_EST_CIQ" hidden="1">"c4718"</definedName>
    <definedName name="IQ_NI_REPORTED_LOW_EST" hidden="1">"c1733"</definedName>
    <definedName name="IQ_NI_REPORTED_LOW_EST_CIQ" hidden="1">"c4719"</definedName>
    <definedName name="IQ_NI_REPORTED_MEDIAN_EST" hidden="1">"c1731"</definedName>
    <definedName name="IQ_NI_REPORTED_MEDIAN_EST_CIQ" hidden="1">"c4717"</definedName>
    <definedName name="IQ_NI_REPORTED_NUM_EST" hidden="1">"c1734"</definedName>
    <definedName name="IQ_NI_REPORTED_NUM_EST_CIQ" hidden="1">"c4720"</definedName>
    <definedName name="IQ_NI_REPORTED_STDDEV_EST" hidden="1">"c1735"</definedName>
    <definedName name="IQ_NI_REPORTED_STDDEV_EST_CIQ" hidden="1">"c4721"</definedName>
    <definedName name="IQ_NI_SBC_ACT_OR_EST" hidden="1">"c4474"</definedName>
    <definedName name="IQ_NI_SBC_ACT_OR_EST_CIQ" hidden="1">"c5012"</definedName>
    <definedName name="IQ_NI_SBC_EST" hidden="1">"c4473"</definedName>
    <definedName name="IQ_NI_SBC_EST_CIQ" hidden="1">"c5011"</definedName>
    <definedName name="IQ_NI_SBC_GUIDANCE" hidden="1">"c4475"</definedName>
    <definedName name="IQ_NI_SBC_GUIDANCE_CIQ" hidden="1">"c5013"</definedName>
    <definedName name="IQ_NI_SBC_GW_ACT_OR_EST" hidden="1">"c4478"</definedName>
    <definedName name="IQ_NI_SBC_GW_ACT_OR_EST_CIQ" hidden="1">"c5016"</definedName>
    <definedName name="IQ_NI_SBC_GW_EST" hidden="1">"c4477"</definedName>
    <definedName name="IQ_NI_SBC_GW_EST_CIQ" hidden="1">"c5015"</definedName>
    <definedName name="IQ_NI_SBC_GW_GUIDANCE" hidden="1">"c4479"</definedName>
    <definedName name="IQ_NI_SBC_GW_GUIDANCE_CIQ" hidden="1">"c5017"</definedName>
    <definedName name="IQ_NI_SBC_GW_HIGH_EST" hidden="1">"c4480"</definedName>
    <definedName name="IQ_NI_SBC_GW_HIGH_EST_CIQ" hidden="1">"c5018"</definedName>
    <definedName name="IQ_NI_SBC_GW_HIGH_GUIDANCE" hidden="1">"c4187"</definedName>
    <definedName name="IQ_NI_SBC_GW_HIGH_GUIDANCE_CIQ" hidden="1">"c4599"</definedName>
    <definedName name="IQ_NI_SBC_GW_LOW_EST" hidden="1">"c4481"</definedName>
    <definedName name="IQ_NI_SBC_GW_LOW_EST_CIQ" hidden="1">"c5019"</definedName>
    <definedName name="IQ_NI_SBC_GW_LOW_GUIDANCE" hidden="1">"c4227"</definedName>
    <definedName name="IQ_NI_SBC_GW_LOW_GUIDANCE_CIQ" hidden="1">"c4639"</definedName>
    <definedName name="IQ_NI_SBC_GW_MEDIAN_EST" hidden="1">"c4482"</definedName>
    <definedName name="IQ_NI_SBC_GW_MEDIAN_EST_CIQ" hidden="1">"c5020"</definedName>
    <definedName name="IQ_NI_SBC_GW_NUM_EST" hidden="1">"c4483"</definedName>
    <definedName name="IQ_NI_SBC_GW_NUM_EST_CIQ" hidden="1">"c5021"</definedName>
    <definedName name="IQ_NI_SBC_GW_STDDEV_EST" hidden="1">"c4484"</definedName>
    <definedName name="IQ_NI_SBC_GW_STDDEV_EST_CIQ" hidden="1">"c5022"</definedName>
    <definedName name="IQ_NI_SBC_HIGH_EST" hidden="1">"c4486"</definedName>
    <definedName name="IQ_NI_SBC_HIGH_EST_CIQ" hidden="1">"c5024"</definedName>
    <definedName name="IQ_NI_SBC_HIGH_GUIDANCE" hidden="1">"c4186"</definedName>
    <definedName name="IQ_NI_SBC_HIGH_GUIDANCE_CIQ" hidden="1">"c4598"</definedName>
    <definedName name="IQ_NI_SBC_LOW_EST" hidden="1">"c4487"</definedName>
    <definedName name="IQ_NI_SBC_LOW_EST_CIQ" hidden="1">"c5025"</definedName>
    <definedName name="IQ_NI_SBC_LOW_GUIDANCE" hidden="1">"c4226"</definedName>
    <definedName name="IQ_NI_SBC_LOW_GUIDANCE_CIQ" hidden="1">"c4638"</definedName>
    <definedName name="IQ_NI_SBC_MEDIAN_EST" hidden="1">"c4488"</definedName>
    <definedName name="IQ_NI_SBC_MEDIAN_EST_CIQ" hidden="1">"c5026"</definedName>
    <definedName name="IQ_NI_SBC_NUM_EST" hidden="1">"c4489"</definedName>
    <definedName name="IQ_NI_SBC_NUM_EST_CIQ" hidden="1">"c5027"</definedName>
    <definedName name="IQ_NI_SBC_STDDEV_EST" hidden="1">"c4490"</definedName>
    <definedName name="IQ_NI_SBC_STDDEV_EST_CIQ" hidden="1">"c5028"</definedName>
    <definedName name="IQ_NI_SFAS" hidden="1">"c795"</definedName>
    <definedName name="IQ_NI_STDDEV_EST" hidden="1">"c1721"</definedName>
    <definedName name="IQ_NI_STDDEV_EST_CIQ" hidden="1">"c4707"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_UNUSED_UNUSED" hidden="1">"c8248"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"c10073"</definedName>
    <definedName name="IQ_OG_DAILY_PRDUCTION_GROWTH_GAS_EQUIVALENT" hidden="1">"c10076"</definedName>
    <definedName name="IQ_OG_DAILY_PRDUCTION_GROWTH_NGL" hidden="1">"c10074"</definedName>
    <definedName name="IQ_OG_DAILY_PRDUCTION_GROWTH_OIL" hidden="1">"c10072"</definedName>
    <definedName name="IQ_OG_DAILY_PR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"c10067"</definedName>
    <definedName name="IQ_OG_PRDUCTION_GROWTH_GAS_EQUIVALENT" hidden="1">"c10070"</definedName>
    <definedName name="IQ_OG_PRDUCTION_GROWTH_NGL" hidden="1">"c10068"</definedName>
    <definedName name="IQ_OG_PRDUCTION_GROWTH_OIL" hidden="1">"c10066"</definedName>
    <definedName name="IQ_OG_PRDUCTION_GROWTH_OIL_EQUIVALENT" hidden="1">"c10069"</definedName>
    <definedName name="IQ_OG_PRDUCTION_GROWTH_TOAL" hidden="1">"c10071"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ACT_OR_EST_CIQ" hidden="1">"c12019"</definedName>
    <definedName name="IQ_OPER_INC_BR" hidden="1">"c850"</definedName>
    <definedName name="IQ_OPER_INC_EST" hidden="1">"c1688"</definedName>
    <definedName name="IQ_OPER_INC_EST_CIQ" hidden="1">"c12010"</definedName>
    <definedName name="IQ_OPER_INC_FIN" hidden="1">"c851"</definedName>
    <definedName name="IQ_OPER_INC_HIGH_EST" hidden="1">"c1690"</definedName>
    <definedName name="IQ_OPER_INC_HIGH_EST_CIQ" hidden="1">"c12012"</definedName>
    <definedName name="IQ_OPER_INC_INS" hidden="1">"c852"</definedName>
    <definedName name="IQ_OPER_INC_LOW_EST" hidden="1">"c1691"</definedName>
    <definedName name="IQ_OPER_INC_LOW_EST_CIQ" hidden="1">"c12013"</definedName>
    <definedName name="IQ_OPER_INC_MARGIN" hidden="1">"c362"</definedName>
    <definedName name="IQ_OPER_INC_MEDIAN_EST" hidden="1">"c1689"</definedName>
    <definedName name="IQ_OPER_INC_MEDIAN_EST_CIQ" hidden="1">"c12011"</definedName>
    <definedName name="IQ_OPER_INC_NUM_EST" hidden="1">"c1692"</definedName>
    <definedName name="IQ_OPER_INC_NUM_EST_CIQ" hidden="1">"c12014"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CIQ" hidden="1">"c12015"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DAY" hidden="1">"c1846"</definedName>
    <definedName name="IQ_PERCENT_CHANGE_EST_5YR_GROWTH_RATE_DAY_CIQ" hidden="1">"c3785"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WEEK" hidden="1">"c1847"</definedName>
    <definedName name="IQ_PERCENT_CHANGE_EST_5YR_GROWTH_RATE_WEEK_CIQ" hidden="1">"c3797"</definedName>
    <definedName name="IQ_PERCENT_CHANGE_EST_CFPS_12MONTHS" hidden="1">"c1812"</definedName>
    <definedName name="IQ_PERCENT_CHANGE_EST_CFPS_12MONTHS_CIQ" hidden="1">"c3755"</definedName>
    <definedName name="IQ_PERCENT_CHANGE_EST_CFPS_18MONTHS" hidden="1">"c1813"</definedName>
    <definedName name="IQ_PERCENT_CHANGE_EST_CFPS_18MONTHS_CIQ" hidden="1">"c3756"</definedName>
    <definedName name="IQ_PERCENT_CHANGE_EST_CFPS_3MONTHS" hidden="1">"c1809"</definedName>
    <definedName name="IQ_PERCENT_CHANGE_EST_CFPS_3MONTHS_CIQ" hidden="1">"c3752"</definedName>
    <definedName name="IQ_PERCENT_CHANGE_EST_CFPS_6MONTHS" hidden="1">"c1810"</definedName>
    <definedName name="IQ_PERCENT_CHANGE_EST_CFPS_6MONTHS_CIQ" hidden="1">"c3753"</definedName>
    <definedName name="IQ_PERCENT_CHANGE_EST_CFPS_9MONTHS" hidden="1">"c1811"</definedName>
    <definedName name="IQ_PERCENT_CHANGE_EST_CFPS_9MONTHS_CIQ" hidden="1">"c3754"</definedName>
    <definedName name="IQ_PERCENT_CHANGE_EST_CFPS_DAY" hidden="1">"c1806"</definedName>
    <definedName name="IQ_PERCENT_CHANGE_EST_CFPS_DAY_CIQ" hidden="1">"c3750"</definedName>
    <definedName name="IQ_PERCENT_CHANGE_EST_CFPS_MONTH" hidden="1">"c1808"</definedName>
    <definedName name="IQ_PERCENT_CHANGE_EST_CFPS_MONTH_CIQ" hidden="1">"c3751"</definedName>
    <definedName name="IQ_PERCENT_CHANGE_EST_CFPS_WEEK" hidden="1">"c1807"</definedName>
    <definedName name="IQ_PERCENT_CHANGE_EST_CFPS_WEEK_CIQ" hidden="1">"c3793"</definedName>
    <definedName name="IQ_PERCENT_CHANGE_EST_DPS_12MONTHS" hidden="1">"c1820"</definedName>
    <definedName name="IQ_PERCENT_CHANGE_EST_DPS_12MONTHS_CIQ" hidden="1">"c3762"</definedName>
    <definedName name="IQ_PERCENT_CHANGE_EST_DPS_18MONTHS" hidden="1">"c1821"</definedName>
    <definedName name="IQ_PERCENT_CHANGE_EST_DPS_18MONTHS_CIQ" hidden="1">"c3763"</definedName>
    <definedName name="IQ_PERCENT_CHANGE_EST_DPS_3MONTHS" hidden="1">"c1817"</definedName>
    <definedName name="IQ_PERCENT_CHANGE_EST_DPS_3MONTHS_CIQ" hidden="1">"c3759"</definedName>
    <definedName name="IQ_PERCENT_CHANGE_EST_DPS_6MONTHS" hidden="1">"c1818"</definedName>
    <definedName name="IQ_PERCENT_CHANGE_EST_DPS_6MONTHS_CIQ" hidden="1">"c3760"</definedName>
    <definedName name="IQ_PERCENT_CHANGE_EST_DPS_9MONTHS" hidden="1">"c1819"</definedName>
    <definedName name="IQ_PERCENT_CHANGE_EST_DPS_9MONTHS_CIQ" hidden="1">"c3761"</definedName>
    <definedName name="IQ_PERCENT_CHANGE_EST_DPS_DAY" hidden="1">"c1814"</definedName>
    <definedName name="IQ_PERCENT_CHANGE_EST_DPS_DAY_CIQ" hidden="1">"c3757"</definedName>
    <definedName name="IQ_PERCENT_CHANGE_EST_DPS_MONTH" hidden="1">"c1816"</definedName>
    <definedName name="IQ_PERCENT_CHANGE_EST_DPS_MONTH_CIQ" hidden="1">"c3758"</definedName>
    <definedName name="IQ_PERCENT_CHANGE_EST_DPS_WEEK" hidden="1">"c1815"</definedName>
    <definedName name="IQ_PERCENT_CHANGE_EST_DPS_WEEK_CIQ" hidden="1">"c3794"</definedName>
    <definedName name="IQ_PERCENT_CHANGE_EST_EBITDA_12MONTHS" hidden="1">"c1804"</definedName>
    <definedName name="IQ_PERCENT_CHANGE_EST_EBITDA_12MONTHS_CIQ" hidden="1">"c3748"</definedName>
    <definedName name="IQ_PERCENT_CHANGE_EST_EBITDA_18MONTHS" hidden="1">"c1805"</definedName>
    <definedName name="IQ_PERCENT_CHANGE_EST_EBITDA_18MONTHS_CIQ" hidden="1">"c3749"</definedName>
    <definedName name="IQ_PERCENT_CHANGE_EST_EBITDA_3MONTHS" hidden="1">"c1801"</definedName>
    <definedName name="IQ_PERCENT_CHANGE_EST_EBITDA_3MONTHS_CIQ" hidden="1">"c3745"</definedName>
    <definedName name="IQ_PERCENT_CHANGE_EST_EBITDA_6MONTHS" hidden="1">"c1802"</definedName>
    <definedName name="IQ_PERCENT_CHANGE_EST_EBITDA_6MONTHS_CIQ" hidden="1">"c3746"</definedName>
    <definedName name="IQ_PERCENT_CHANGE_EST_EBITDA_9MONTHS" hidden="1">"c1803"</definedName>
    <definedName name="IQ_PERCENT_CHANGE_EST_EBITDA_9MONTHS_CIQ" hidden="1">"c3747"</definedName>
    <definedName name="IQ_PERCENT_CHANGE_EST_EBITDA_DAY" hidden="1">"c1798"</definedName>
    <definedName name="IQ_PERCENT_CHANGE_EST_EBITDA_DAY_CIQ" hidden="1">"c3743"</definedName>
    <definedName name="IQ_PERCENT_CHANGE_EST_EBITDA_MONTH" hidden="1">"c1800"</definedName>
    <definedName name="IQ_PERCENT_CHANGE_EST_EBITDA_MONTH_CIQ" hidden="1">"c3744"</definedName>
    <definedName name="IQ_PERCENT_CHANGE_EST_EBITDA_WEEK" hidden="1">"c1799"</definedName>
    <definedName name="IQ_PERCENT_CHANGE_EST_EBITDA_WEEK_CIQ" hidden="1">"c3792"</definedName>
    <definedName name="IQ_PERCENT_CHANGE_EST_EPS_12MONTHS" hidden="1">"c1788"</definedName>
    <definedName name="IQ_PERCENT_CHANGE_EST_EPS_12MONTHS_CIQ" hidden="1">"c3733"</definedName>
    <definedName name="IQ_PERCENT_CHANGE_EST_EPS_18MONTHS" hidden="1">"c1789"</definedName>
    <definedName name="IQ_PERCENT_CHANGE_EST_EPS_18MONTHS_CIQ" hidden="1">"c3734"</definedName>
    <definedName name="IQ_PERCENT_CHANGE_EST_EPS_3MONTHS" hidden="1">"c1785"</definedName>
    <definedName name="IQ_PERCENT_CHANGE_EST_EPS_3MONTHS_CIQ" hidden="1">"c3730"</definedName>
    <definedName name="IQ_PERCENT_CHANGE_EST_EPS_6MONTHS" hidden="1">"c1786"</definedName>
    <definedName name="IQ_PERCENT_CHANGE_EST_EPS_6MONTHS_CIQ" hidden="1">"c3731"</definedName>
    <definedName name="IQ_PERCENT_CHANGE_EST_EPS_9MONTHS" hidden="1">"c1787"</definedName>
    <definedName name="IQ_PERCENT_CHANGE_EST_EPS_9MONTHS_CIQ" hidden="1">"c3732"</definedName>
    <definedName name="IQ_PERCENT_CHANGE_EST_EPS_DAY" hidden="1">"c1782"</definedName>
    <definedName name="IQ_PERCENT_CHANGE_EST_EPS_DAY_CIQ" hidden="1">"c3727"</definedName>
    <definedName name="IQ_PERCENT_CHANGE_EST_EPS_MONTH" hidden="1">"c1784"</definedName>
    <definedName name="IQ_PERCENT_CHANGE_EST_EPS_MONTH_CIQ" hidden="1">"c3729"</definedName>
    <definedName name="IQ_PERCENT_CHANGE_EST_EPS_WEEK" hidden="1">"c1783"</definedName>
    <definedName name="IQ_PERCENT_CHANGE_EST_EPS_WEEK_CIQ" hidden="1">"c3728"</definedName>
    <definedName name="IQ_PERCENT_CHANGE_EST_FFO_12MONTHS" hidden="1">"c1828"</definedName>
    <definedName name="IQ_PERCENT_CHANGE_EST_FFO_12MONTHS_CIQ" hidden="1">"c3769"</definedName>
    <definedName name="IQ_PERCENT_CHANGE_EST_FFO_18MONTHS" hidden="1">"c1829"</definedName>
    <definedName name="IQ_PERCENT_CHANGE_EST_FFO_18MONTHS_CIQ" hidden="1">"c3770"</definedName>
    <definedName name="IQ_PERCENT_CHANGE_EST_FFO_3MONTHS" hidden="1">"c1825"</definedName>
    <definedName name="IQ_PERCENT_CHANGE_EST_FFO_3MONTHS_CIQ" hidden="1">"c3766"</definedName>
    <definedName name="IQ_PERCENT_CHANGE_EST_FFO_6MONTHS" hidden="1">"c1826"</definedName>
    <definedName name="IQ_PERCENT_CHANGE_EST_FFO_6MONTHS_CIQ" hidden="1">"c3767"</definedName>
    <definedName name="IQ_PERCENT_CHANGE_EST_FFO_9MONTHS" hidden="1">"c1827"</definedName>
    <definedName name="IQ_PERCENT_CHANGE_EST_FFO_9MONTHS_CIQ" hidden="1">"c3768"</definedName>
    <definedName name="IQ_PERCENT_CHANGE_EST_FFO_DAY" hidden="1">"c1822"</definedName>
    <definedName name="IQ_PERCENT_CHANGE_EST_FFO_DAY_CIQ" hidden="1">"c3764"</definedName>
    <definedName name="IQ_PERCENT_CHANGE_EST_FFO_MONTH" hidden="1">"c1824"</definedName>
    <definedName name="IQ_PERCENT_CHANGE_EST_FFO_MONTH_CIQ" hidden="1">"c3765"</definedName>
    <definedName name="IQ_PERCENT_CHANGE_EST_FFO_WEEK" hidden="1">"c1823"</definedName>
    <definedName name="IQ_PERCENT_CHANGE_EST_FFO_WEEK_CIQ" hidden="1">"c3795"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3MONTHS" hidden="1">"c1841"</definedName>
    <definedName name="IQ_PERCENT_CHANGE_EST_PRICE_TARGET_3MONTHS_CIQ" hidden="1">"c3780"</definedName>
    <definedName name="IQ_PERCENT_CHANGE_EST_PRICE_TARGET_6MONTHS" hidden="1">"c1842"</definedName>
    <definedName name="IQ_PERCENT_CHANGE_EST_PRICE_TARGET_6MONTHS_CIQ" hidden="1">"c3781"</definedName>
    <definedName name="IQ_PERCENT_CHANGE_EST_PRICE_TARGET_9MONTHS" hidden="1">"c1843"</definedName>
    <definedName name="IQ_PERCENT_CHANGE_EST_PRICE_TARGET_9MONTHS_CIQ" hidden="1">"c3782"</definedName>
    <definedName name="IQ_PERCENT_CHANGE_EST_PRICE_TARGET_DAY" hidden="1">"c1838"</definedName>
    <definedName name="IQ_PERCENT_CHANGE_EST_PRICE_TARGET_DAY_CIQ" hidden="1">"c3778"</definedName>
    <definedName name="IQ_PERCENT_CHANGE_EST_PRICE_TARGET_MONTH" hidden="1">"c1840"</definedName>
    <definedName name="IQ_PERCENT_CHANGE_EST_PRICE_TARGET_MONTH_CIQ" hidden="1">"c3779"</definedName>
    <definedName name="IQ_PERCENT_CHANGE_EST_PRICE_TARGET_WEEK" hidden="1">"c1839"</definedName>
    <definedName name="IQ_PERCENT_CHANGE_EST_PRICE_TARGET_WEEK_CIQ" hidden="1">"c3798"</definedName>
    <definedName name="IQ_PERCENT_CHANGE_EST_RECO_12MONTHS" hidden="1">"c1836"</definedName>
    <definedName name="IQ_PERCENT_CHANGE_EST_RECO_12MONTHS_CIQ" hidden="1">"c3776"</definedName>
    <definedName name="IQ_PERCENT_CHANGE_EST_RECO_18MONTHS" hidden="1">"c1837"</definedName>
    <definedName name="IQ_PERCENT_CHANGE_EST_RECO_18MONTHS_CIQ" hidden="1">"c3777"</definedName>
    <definedName name="IQ_PERCENT_CHANGE_EST_RECO_3MONTHS" hidden="1">"c1833"</definedName>
    <definedName name="IQ_PERCENT_CHANGE_EST_RECO_3MONTHS_CIQ" hidden="1">"c3773"</definedName>
    <definedName name="IQ_PERCENT_CHANGE_EST_RECO_6MONTHS" hidden="1">"c1834"</definedName>
    <definedName name="IQ_PERCENT_CHANGE_EST_RECO_6MONTHS_CIQ" hidden="1">"c3774"</definedName>
    <definedName name="IQ_PERCENT_CHANGE_EST_RECO_9MONTHS" hidden="1">"c1835"</definedName>
    <definedName name="IQ_PERCENT_CHANGE_EST_RECO_9MONTHS_CIQ" hidden="1">"c3775"</definedName>
    <definedName name="IQ_PERCENT_CHANGE_EST_RECO_DAY" hidden="1">"c1830"</definedName>
    <definedName name="IQ_PERCENT_CHANGE_EST_RECO_DAY_CIQ" hidden="1">"c3771"</definedName>
    <definedName name="IQ_PERCENT_CHANGE_EST_RECO_MONTH" hidden="1">"c1832"</definedName>
    <definedName name="IQ_PERCENT_CHANGE_EST_RECO_MONTH_CIQ" hidden="1">"c3772"</definedName>
    <definedName name="IQ_PERCENT_CHANGE_EST_RECO_WEEK" hidden="1">"c1831"</definedName>
    <definedName name="IQ_PERCENT_CHANGE_EST_RECO_WEEK_CIQ" hidden="1">"c3796"</definedName>
    <definedName name="IQ_PERCENT_CHANGE_EST_REV_12MONTHS" hidden="1">"c1796"</definedName>
    <definedName name="IQ_PERCENT_CHANGE_EST_REV_12MONTHS_CIQ" hidden="1">"c3741"</definedName>
    <definedName name="IQ_PERCENT_CHANGE_EST_REV_18MONTHS" hidden="1">"c1797"</definedName>
    <definedName name="IQ_PERCENT_CHANGE_EST_REV_18MONTHS_CIQ" hidden="1">"c3742"</definedName>
    <definedName name="IQ_PERCENT_CHANGE_EST_REV_3MONTHS" hidden="1">"c1793"</definedName>
    <definedName name="IQ_PERCENT_CHANGE_EST_REV_3MONTHS_CIQ" hidden="1">"c3738"</definedName>
    <definedName name="IQ_PERCENT_CHANGE_EST_REV_6MONTHS" hidden="1">"c1794"</definedName>
    <definedName name="IQ_PERCENT_CHANGE_EST_REV_6MONTHS_CIQ" hidden="1">"c3739"</definedName>
    <definedName name="IQ_PERCENT_CHANGE_EST_REV_9MONTHS" hidden="1">"c1795"</definedName>
    <definedName name="IQ_PERCENT_CHANGE_EST_REV_9MONTHS_CIQ" hidden="1">"c3740"</definedName>
    <definedName name="IQ_PERCENT_CHANGE_EST_REV_DAY" hidden="1">"c1790"</definedName>
    <definedName name="IQ_PERCENT_CHANGE_EST_REV_DAY_CIQ" hidden="1">"c3735"</definedName>
    <definedName name="IQ_PERCENT_CHANGE_EST_REV_MONTH" hidden="1">"c1792"</definedName>
    <definedName name="IQ_PERCENT_CHANGE_EST_REV_MONTH_CIQ" hidden="1">"c3737"</definedName>
    <definedName name="IQ_PERCENT_CHANGE_EST_REV_WEEK" hidden="1">"c1791"</definedName>
    <definedName name="IQ_PERCENT_CHANGE_EST_REV_WEEK_CIQ" hidden="1">"c3736"</definedName>
    <definedName name="IQ_PERCENT_INSURED_FDIC" hidden="1">"c6374"</definedName>
    <definedName name="IQ_PERIODDATE" hidden="1">"c1034"</definedName>
    <definedName name="IQ_PERIODDATE_AP" hidden="1">"c11745"</definedName>
    <definedName name="IQ_PERIODDATE_BS" hidden="1">"c1032"</definedName>
    <definedName name="IQ_PERIODDATE_CF" hidden="1">"c1033"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"c10027"</definedName>
    <definedName name="IQ_PHARMBIO_NUMBER_PROD__CLINICAL_DEV" hidden="1">"c10022"</definedName>
    <definedName name="IQ_PHARMBIO_NUMBER_PROD__LAUNCHED_DURING_PERIOD" hidden="1">"c10028"</definedName>
    <definedName name="IQ_PHARMBIO_NUMBER_PROD__PHASE_I" hidden="1">"c10023"</definedName>
    <definedName name="IQ_PHARMBIO_NUMBER_PROD__PHASE_II" hidden="1">"c10024"</definedName>
    <definedName name="IQ_PHARMBIO_NUMBER_PROD__PHASE_III" hidden="1">"c10025"</definedName>
    <definedName name="IQ_PHARMBIO_NUMBER_PROD__PRE_CLINICAL_TRIALS" hidden="1">"c10021"</definedName>
    <definedName name="IQ_PHARMBIO_NUMBER_PROD__PRE_REGISTRATION" hidden="1">"c10026"</definedName>
    <definedName name="IQ_PHARMBIO_NUMBER_PROD__RESEARCH_DEV" hidden="1">"c10020"</definedName>
    <definedName name="IQ_PHARMBIO_NUMBER_PROD_DISCOVERY_RESEARCH" hidden="1">"c10019"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CIQ" hidden="1">"c5064"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" hidden="1">"c1702"</definedName>
    <definedName name="IQ_PRETAX_GW_INC_EST_CIQ" hidden="1">"c4688"</definedName>
    <definedName name="IQ_PRETAX_GW_INC_HIGH_EST" hidden="1">"c1704"</definedName>
    <definedName name="IQ_PRETAX_GW_INC_HIGH_EST_CIQ" hidden="1">"c4690"</definedName>
    <definedName name="IQ_PRETAX_GW_INC_LOW_EST" hidden="1">"c1705"</definedName>
    <definedName name="IQ_PRETAX_GW_INC_LOW_EST_CIQ" hidden="1">"c4691"</definedName>
    <definedName name="IQ_PRETAX_GW_INC_MEDIAN_EST" hidden="1">"c1703"</definedName>
    <definedName name="IQ_PRETAX_GW_INC_MEDIAN_EST_CIQ" hidden="1">"c4689"</definedName>
    <definedName name="IQ_PRETAX_GW_INC_NUM_EST" hidden="1">"c1706"</definedName>
    <definedName name="IQ_PRETAX_GW_INC_NUM_EST_CIQ" hidden="1">"c4692"</definedName>
    <definedName name="IQ_PRETAX_GW_INC_STDDEV_EST" hidden="1">"c1707"</definedName>
    <definedName name="IQ_PRETAX_GW_INC_STDDEV_EST_CIQ" hidden="1">"c4693"</definedName>
    <definedName name="IQ_PRETAX_INC_EST" hidden="1">"c1695"</definedName>
    <definedName name="IQ_PRETAX_INC_EST_CIQ" hidden="1">"c4681"</definedName>
    <definedName name="IQ_PRETAX_INC_HIGH_EST" hidden="1">"c1697"</definedName>
    <definedName name="IQ_PRETAX_INC_HIGH_EST_CIQ" hidden="1">"c4683"</definedName>
    <definedName name="IQ_PRETAX_INC_LOW_EST" hidden="1">"c1698"</definedName>
    <definedName name="IQ_PRETAX_INC_LOW_EST_CIQ" hidden="1">"c4684"</definedName>
    <definedName name="IQ_PRETAX_INC_MEDIAN_EST" hidden="1">"c1696"</definedName>
    <definedName name="IQ_PRETAX_INC_MEDIAN_EST_CIQ" hidden="1">"c4682"</definedName>
    <definedName name="IQ_PRETAX_INC_NUM_EST" hidden="1">"c1699"</definedName>
    <definedName name="IQ_PRETAX_INC_NUM_EST_CIQ" hidden="1">"c4685"</definedName>
    <definedName name="IQ_PRETAX_INC_STDDEV_EST" hidden="1">"c1700"</definedName>
    <definedName name="IQ_PRETAX_INC_STDDEV_EST_CIQ" hidden="1">"c4686"</definedName>
    <definedName name="IQ_PRETAX_REPORT_INC_EST" hidden="1">"c1709"</definedName>
    <definedName name="IQ_PRETAX_REPORT_INC_EST_CIQ" hidden="1">"c4695"</definedName>
    <definedName name="IQ_PRETAX_REPORT_INC_HIGH_EST" hidden="1">"c1711"</definedName>
    <definedName name="IQ_PRETAX_REPORT_INC_HIGH_EST_CIQ" hidden="1">"c4697"</definedName>
    <definedName name="IQ_PRETAX_REPORT_INC_LOW_EST" hidden="1">"c1712"</definedName>
    <definedName name="IQ_PRETAX_REPORT_INC_LOW_EST_CIQ" hidden="1">"c4698"</definedName>
    <definedName name="IQ_PRETAX_REPORT_INC_MEDIAN_EST" hidden="1">"c1710"</definedName>
    <definedName name="IQ_PRETAX_REPORT_INC_MEDIAN_EST_CIQ" hidden="1">"c4696"</definedName>
    <definedName name="IQ_PRETAX_REPORT_INC_NUM_EST" hidden="1">"c1713"</definedName>
    <definedName name="IQ_PRETAX_REPORT_INC_NUM_EST_CIQ" hidden="1">"c4699"</definedName>
    <definedName name="IQ_PRETAX_REPORT_INC_STDDEV_EST" hidden="1">"c1714"</definedName>
    <definedName name="IQ_PRETAX_REPORT_INC_STDDEV_EST_CIQ" hidden="1">"c4700"</definedName>
    <definedName name="IQ_PRETAX_RETURN_ASSETS_FDIC" hidden="1">"c6731"</definedName>
    <definedName name="IQ_PRICE_CFPS_FWD" hidden="1">"c2237"</definedName>
    <definedName name="IQ_PRICE_CFPS_FWD_CIQ" hidden="1">"c4046"</definedName>
    <definedName name="IQ_PRICE_OVER_BVPS" hidden="1">"c1026"</definedName>
    <definedName name="IQ_PRICE_OVER_LTM_EPS" hidden="1">"c1029"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" hidden="1">"c5486"</definedName>
    <definedName name="IQ_PRICE_TARGET_BOTTOM_UP_CIQ" hidden="1">"c12023"</definedName>
    <definedName name="IQ_PRICE_TARGET_CIQ" hidden="1">"c3613"</definedName>
    <definedName name="IQ_PRICE_TARGET_REUT" hidden="1">"c3631"</definedName>
    <definedName name="IQ_PRICE_VOLATILITY_EST" hidden="1">"c4492"</definedName>
    <definedName name="IQ_PRICE_VOLATILITY_EST_CIQ" hidden="1">"c5030"</definedName>
    <definedName name="IQ_PRICE_VOLATILITY_HIGH" hidden="1">"c4493"</definedName>
    <definedName name="IQ_PRICE_VOLATILITY_HIGH_CIQ" hidden="1">"c5031"</definedName>
    <definedName name="IQ_PRICE_VOLATILITY_LOW" hidden="1">"c4494"</definedName>
    <definedName name="IQ_PRICE_VOLATILITY_LOW_CIQ" hidden="1">"c5032"</definedName>
    <definedName name="IQ_PRICE_VOLATILITY_MEDIAN" hidden="1">"c4495"</definedName>
    <definedName name="IQ_PRICE_VOLATILITY_MEDIAN_CIQ" hidden="1">"c5033"</definedName>
    <definedName name="IQ_PRICE_VOLATILITY_NUM" hidden="1">"c4496"</definedName>
    <definedName name="IQ_PRICE_VOLATILITY_NUM_CIQ" hidden="1">"c5034"</definedName>
    <definedName name="IQ_PRICE_VOLATILITY_STDDEV" hidden="1">"c4497"</definedName>
    <definedName name="IQ_PRICE_VOLATILITY_STDDEV_CIQ" hidden="1">"c5035"</definedName>
    <definedName name="IQ_PRICEDATE" hidden="1">"c1069"</definedName>
    <definedName name="IQ_PRICING_DATE" hidden="1">"c1613"</definedName>
    <definedName name="IQ_PRIMARY_EPS_TYPE" hidden="1">"c4498"</definedName>
    <definedName name="IQ_PRIMARY_EPS_TYPE_CIQ" hidden="1">"c5036"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EST" hidden="1">"c4499"</definedName>
    <definedName name="IQ_RECURRING_PROFIT_EST_CIQ" hidden="1">"c5037"</definedName>
    <definedName name="IQ_RECURRING_PROFIT_GUIDANCE" hidden="1">"c4500"</definedName>
    <definedName name="IQ_RECURRING_PROFIT_GUIDANCE_CIQ" hidden="1">"c5038"</definedName>
    <definedName name="IQ_RECURRING_PROFIT_HIGH_EST" hidden="1">"c4501"</definedName>
    <definedName name="IQ_RECURRING_PROFIT_HIGH_EST_CIQ" hidden="1">"c5039"</definedName>
    <definedName name="IQ_RECURRING_PROFIT_HIGH_GUIDANCE" hidden="1">"c4179"</definedName>
    <definedName name="IQ_RECURRING_PROFIT_HIGH_GUIDANCE_CIQ" hidden="1">"c4591"</definedName>
    <definedName name="IQ_RECURRING_PROFIT_LOW_EST" hidden="1">"c4502"</definedName>
    <definedName name="IQ_RECURRING_PROFIT_LOW_EST_CIQ" hidden="1">"c5040"</definedName>
    <definedName name="IQ_RECURRING_PROFIT_LOW_GUIDANCE" hidden="1">"c4219"</definedName>
    <definedName name="IQ_RECURRING_PROFIT_LOW_GUIDANCE_CIQ" hidden="1">"c4631"</definedName>
    <definedName name="IQ_RECURRING_PROFIT_MEDIAN_EST" hidden="1">"c4503"</definedName>
    <definedName name="IQ_RECURRING_PROFIT_MEDIAN_EST_CIQ" hidden="1">"c5041"</definedName>
    <definedName name="IQ_RECURRING_PROFIT_NUM_EST" hidden="1">"c4504"</definedName>
    <definedName name="IQ_RECURRING_PROFIT_NUM_EST_CIQ" hidden="1">"c5042"</definedName>
    <definedName name="IQ_RECURRING_PROFIT_SHARE_ACT_OR_EST" hidden="1">"c4508"</definedName>
    <definedName name="IQ_RECURRING_PROFIT_SHARE_ACT_OR_EST_CIQ" hidden="1">"c5046"</definedName>
    <definedName name="IQ_RECURRING_PROFIT_SHARE_EST" hidden="1">"c4506"</definedName>
    <definedName name="IQ_RECURRING_PROFIT_SHARE_EST_CIQ" hidden="1">"c5044"</definedName>
    <definedName name="IQ_RECURRING_PROFIT_SHARE_GUIDANCE" hidden="1">"c4509"</definedName>
    <definedName name="IQ_RECURRING_PROFIT_SHARE_GUIDANCE_CIQ" hidden="1">"c5047"</definedName>
    <definedName name="IQ_RECURRING_PROFIT_SHARE_HIGH_EST" hidden="1">"c4510"</definedName>
    <definedName name="IQ_RECURRING_PROFIT_SHARE_HIGH_EST_CIQ" hidden="1">"c5048"</definedName>
    <definedName name="IQ_RECURRING_PROFIT_SHARE_HIGH_GUIDANCE" hidden="1">"c4200"</definedName>
    <definedName name="IQ_RECURRING_PROFIT_SHARE_HIGH_GUIDANCE_CIQ" hidden="1">"c4612"</definedName>
    <definedName name="IQ_RECURRING_PROFIT_SHARE_LOW_EST" hidden="1">"c4511"</definedName>
    <definedName name="IQ_RECURRING_PROFIT_SHARE_LOW_EST_CIQ" hidden="1">"c5049"</definedName>
    <definedName name="IQ_RECURRING_PROFIT_SHARE_LOW_GUIDANCE" hidden="1">"c4240"</definedName>
    <definedName name="IQ_RECURRING_PROFIT_SHARE_LOW_GUIDANCE_CIQ" hidden="1">"c4652"</definedName>
    <definedName name="IQ_RECURRING_PROFIT_SHARE_MEDIAN_EST" hidden="1">"c4512"</definedName>
    <definedName name="IQ_RECURRING_PROFIT_SHARE_MEDIAN_EST_CIQ" hidden="1">"c5050"</definedName>
    <definedName name="IQ_RECURRING_PROFIT_SHARE_NUM_EST" hidden="1">"c4513"</definedName>
    <definedName name="IQ_RECURRING_PROFIT_SHARE_NUM_EST_CIQ" hidden="1">"c5051"</definedName>
    <definedName name="IQ_RECURRING_PROFIT_SHARE_STDDEV_EST" hidden="1">"c4514"</definedName>
    <definedName name="IQ_RECURRING_PROFIT_SHARE_STDDEV_EST_CIQ" hidden="1">"c5052"</definedName>
    <definedName name="IQ_RECURRING_PROFIT_STDDEV_EST" hidden="1">"c4516"</definedName>
    <definedName name="IQ_RECURRING_PROFIT_STDDEV_EST_CIQ" hidden="1">"c5054"</definedName>
    <definedName name="IQ_REDEEM_PREF_STOCK" hidden="1">"c1059"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"c1090"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ACT_OR_EST" hidden="1">"c3585"</definedName>
    <definedName name="IQ_RETURN_ASSETS_ACT_OR_EST_CIQ" hidden="1">"c12020"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CIQ" hidden="1">"c3828"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GUIDANCE_CIQ" hidden="1">"c5055"</definedName>
    <definedName name="IQ_RETURN_ASSETS_HIGH_EST" hidden="1">"c3530"</definedName>
    <definedName name="IQ_RETURN_ASSETS_HIGH_EST_CIQ" hidden="1">"c3830"</definedName>
    <definedName name="IQ_RETURN_ASSETS_HIGH_GUIDANCE" hidden="1">"c4183"</definedName>
    <definedName name="IQ_RETURN_ASSETS_HIGH_GUIDANCE_CIQ" hidden="1">"c4595"</definedName>
    <definedName name="IQ_RETURN_ASSETS_LOW_EST" hidden="1">"c3531"</definedName>
    <definedName name="IQ_RETURN_ASSETS_LOW_EST_CIQ" hidden="1">"c3831"</definedName>
    <definedName name="IQ_RETURN_ASSETS_LOW_GUIDANCE" hidden="1">"c4223"</definedName>
    <definedName name="IQ_RETURN_ASSETS_LOW_GUIDANCE_CIQ" hidden="1">"c4635"</definedName>
    <definedName name="IQ_RETURN_ASSETS_MEDIAN_EST" hidden="1">"c3532"</definedName>
    <definedName name="IQ_RETURN_ASSETS_MEDIAN_EST_CIQ" hidden="1">"c3829"</definedName>
    <definedName name="IQ_RETURN_ASSETS_NUM_EST" hidden="1">"c3527"</definedName>
    <definedName name="IQ_RETURN_ASSETS_NUM_EST_CIQ" hidden="1">"c3832"</definedName>
    <definedName name="IQ_RETURN_ASSETS_STDDEV_EST" hidden="1">"c3528"</definedName>
    <definedName name="IQ_RETURN_ASSETS_STDDEV_EST_CIQ" hidden="1">"c3833"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CIQ" hidden="1">"c12021"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CIQ" hidden="1">"c3821"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GUIDANCE_CIQ" hidden="1">"c5056"</definedName>
    <definedName name="IQ_RETURN_EQUITY_HIGH_EST" hidden="1">"c3536"</definedName>
    <definedName name="IQ_RETURN_EQUITY_HIGH_EST_CIQ" hidden="1">"c3823"</definedName>
    <definedName name="IQ_RETURN_EQUITY_HIGH_GUIDANCE" hidden="1">"c4182"</definedName>
    <definedName name="IQ_RETURN_EQUITY_HIGH_GUIDANCE_CIQ" hidden="1">"c4594"</definedName>
    <definedName name="IQ_RETURN_EQUITY_LOW_EST" hidden="1">"c3537"</definedName>
    <definedName name="IQ_RETURN_EQUITY_LOW_EST_CIQ" hidden="1">"c3824"</definedName>
    <definedName name="IQ_RETURN_EQUITY_LOW_GUIDANCE" hidden="1">"c4222"</definedName>
    <definedName name="IQ_RETURN_EQUITY_LOW_GUIDANCE_CIQ" hidden="1">"c4634"</definedName>
    <definedName name="IQ_RETURN_EQUITY_MEDIAN_EST" hidden="1">"c3538"</definedName>
    <definedName name="IQ_RETURN_EQUITY_MEDIAN_EST_CIQ" hidden="1">"c3822"</definedName>
    <definedName name="IQ_RETURN_EQUITY_NUM_EST" hidden="1">"c3533"</definedName>
    <definedName name="IQ_RETURN_EQUITY_NUM_EST_CIQ" hidden="1">"c3825"</definedName>
    <definedName name="IQ_RETURN_EQUITY_STDDEV_EST" hidden="1">"c3534"</definedName>
    <definedName name="IQ_RETURN_EQUITY_STDDEV_EST_CIQ" hidden="1">"c3826"</definedName>
    <definedName name="IQ_RETURN_INVESTMENT" hidden="1">"c1117"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ACT_OR_EST" hidden="1">"c2214"</definedName>
    <definedName name="IQ_REVENUE_ACT_OR_EST_CIQ" hidden="1">"c5059"</definedName>
    <definedName name="IQ_REVENUE_EST" hidden="1">"c1126"</definedName>
    <definedName name="IQ_REVENUE_EST_BOTTOM_UP" hidden="1">"c5488"</definedName>
    <definedName name="IQ_REVENUE_EST_BOTTOM_UP_CIQ" hidden="1">"c12025"</definedName>
    <definedName name="IQ_REVENUE_EST_CIQ" hidden="1">"c3616"</definedName>
    <definedName name="IQ_REVENUE_EST_REUT" hidden="1">"c3634"</definedName>
    <definedName name="IQ_REVENUE_GUIDANCE" hidden="1">"c4519"</definedName>
    <definedName name="IQ_REVENUE_GUIDANCE_CIQ" hidden="1">"c5057"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GUIDANCE" hidden="1">"c4169"</definedName>
    <definedName name="IQ_REVENUE_HIGH_GUIDANCE_CIQ" hidden="1">"c4581"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GUIDANCE" hidden="1">"c4209"</definedName>
    <definedName name="IQ_REVENUE_LOW_GUIDANCE_CIQ" hidden="1">"c4621"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ISION_DATE_" hidden="1">39771.75375</definedName>
    <definedName name="IQ_RISK_ADJ_BANK_ASSETS" hidden="1">"c2670"</definedName>
    <definedName name="IQ_RISK_WEIGHTED_ASSETS_FDIC" hidden="1">"c6370"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EST_CIQ" hidden="1">"c5073"</definedName>
    <definedName name="IQ_STOCK_BASED_GA" hidden="1">"c2993"</definedName>
    <definedName name="IQ_STOCK_BASED_HIGH_EST" hidden="1">"c4521"</definedName>
    <definedName name="IQ_STOCK_BASED_HIGH_EST_CIQ" hidden="1">"c5074"</definedName>
    <definedName name="IQ_STOCK_BASED_LOW_EST" hidden="1">"c4522"</definedName>
    <definedName name="IQ_STOCK_BASED_LOW_EST_CIQ" hidden="1">"c5075"</definedName>
    <definedName name="IQ_STOCK_BASED_MEDIAN_EST" hidden="1">"c4523"</definedName>
    <definedName name="IQ_STOCK_BASED_MEDIAN_EST_CIQ" hidden="1">"c5076"</definedName>
    <definedName name="IQ_STOCK_BASED_NUM_EST" hidden="1">"c4524"</definedName>
    <definedName name="IQ_STOCK_BASED_NUM_EST_CIQ" hidden="1">"c5077"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STDDEV_EST_CIQ" hidden="1">"c5078"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CIQ" hidden="1">"c4047"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MPLOYEE_AVG" hidden="1">"c1225"</definedName>
    <definedName name="IQ_TEV_EST" hidden="1">"c4526"</definedName>
    <definedName name="IQ_TEV_EST_CIQ" hidden="1">"c5079"</definedName>
    <definedName name="IQ_TEV_HIGH_EST" hidden="1">"c4527"</definedName>
    <definedName name="IQ_TEV_HIGH_EST_CIQ" hidden="1">"c5080"</definedName>
    <definedName name="IQ_TEV_LOW_EST" hidden="1">"c4528"</definedName>
    <definedName name="IQ_TEV_LOW_EST_CIQ" hidden="1">"c5081"</definedName>
    <definedName name="IQ_TEV_MEDIAN_EST" hidden="1">"c4529"</definedName>
    <definedName name="IQ_TEV_MEDIAN_EST_CIQ" hidden="1">"c5082"</definedName>
    <definedName name="IQ_TEV_NUM_EST" hidden="1">"c4530"</definedName>
    <definedName name="IQ_TEV_NUM_EST_CIQ" hidden="1">"c5083"</definedName>
    <definedName name="IQ_TEV_STDDEV_EST" hidden="1">"c4531"</definedName>
    <definedName name="IQ_TEV_STDDEV_EST_CIQ" hidden="1">"c5084"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ST_CIQ" hidden="1">"c5085"</definedName>
    <definedName name="IQ_TOTAL_DEBT_EXCL_FIN" hidden="1">"c2937"</definedName>
    <definedName name="IQ_TOTAL_DEBT_GUIDANCE" hidden="1">"c4533"</definedName>
    <definedName name="IQ_TOTAL_DEBT_GUIDANCE_CIQ" hidden="1">"c5086"</definedName>
    <definedName name="IQ_TOTAL_DEBT_HIGH_EST" hidden="1">"c4534"</definedName>
    <definedName name="IQ_TOTAL_DEBT_HIGH_EST_CIQ" hidden="1">"c5087"</definedName>
    <definedName name="IQ_TOTAL_DEBT_HIGH_GUIDANCE" hidden="1">"c4196"</definedName>
    <definedName name="IQ_TOTAL_DEBT_HIGH_GUIDANCE_CIQ" hidden="1">"c4608"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EST_CIQ" hidden="1">"c5088"</definedName>
    <definedName name="IQ_TOTAL_DEBT_LOW_GUIDANCE" hidden="1">"c4236"</definedName>
    <definedName name="IQ_TOTAL_DEBT_LOW_GUIDANCE_CIQ" hidden="1">"c4648"</definedName>
    <definedName name="IQ_TOTAL_DEBT_MEDIAN_EST" hidden="1">"c4536"</definedName>
    <definedName name="IQ_TOTAL_DEBT_MEDIAN_EST_CIQ" hidden="1">"c5089"</definedName>
    <definedName name="IQ_TOTAL_DEBT_NON_CURRENT" hidden="1">"c6191"</definedName>
    <definedName name="IQ_TOTAL_DEBT_NUM_EST" hidden="1">"c4537"</definedName>
    <definedName name="IQ_TOTAL_DEBT_NUM_EST_CIQ" hidden="1">"c5090"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BT_STDDEV_EST_CIQ" hidden="1">"c5091"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"c1294"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TENS">#REF!</definedName>
    <definedName name="JHJ" hidden="1">{#N/A,#N/A,FALSE,"Plan1";#N/A,#N/A,FALSE,"Plan2"}</definedName>
    <definedName name="JHMB" hidden="1">{#N/A,#N/A,FALSE,"Plan1";#N/A,#N/A,FALSE,"Plan2"}</definedName>
    <definedName name="jjjjjjj2" hidden="1">#REF!</definedName>
    <definedName name="JKL" hidden="1">{#N/A,#N/A,FALSE,"Plan1";#N/A,#N/A,FALSE,"Plan2"}</definedName>
    <definedName name="JR_PAGE_ANCHOR_0_1">#REF!</definedName>
    <definedName name="junta">#REF!</definedName>
    <definedName name="K">#REF!</definedName>
    <definedName name="kkjh">#REF!</definedName>
    <definedName name="KLKKLKÇJÇ" hidden="1">{#N/A,#N/A,FALSE,"Plan1";#N/A,#N/A,FALSE,"Plan2"}</definedName>
    <definedName name="laranjal">#REF!</definedName>
    <definedName name="LARGURA">#REF!</definedName>
    <definedName name="lbla1" hidden="1">#REF!</definedName>
    <definedName name="lbla10" hidden="1">#REF!</definedName>
    <definedName name="lbla11" hidden="1">#REF!</definedName>
    <definedName name="lbla12" hidden="1">#REF!</definedName>
    <definedName name="lbla13" hidden="1">#REF!</definedName>
    <definedName name="lbla14" hidden="1">#REF!</definedName>
    <definedName name="lbla15" hidden="1">#REF!</definedName>
    <definedName name="lbla16" hidden="1">#REF!</definedName>
    <definedName name="lbla17" hidden="1">#REF!</definedName>
    <definedName name="lbla18" hidden="1">#REF!</definedName>
    <definedName name="lbla19" hidden="1">#REF!</definedName>
    <definedName name="lbla2" hidden="1">#REF!</definedName>
    <definedName name="lbla20" hidden="1">#REF!</definedName>
    <definedName name="lbla21" hidden="1">#REF!</definedName>
    <definedName name="lbla22" hidden="1">#REF!</definedName>
    <definedName name="lbla23" hidden="1">#REF!</definedName>
    <definedName name="lbla24" hidden="1">#REF!</definedName>
    <definedName name="lbla25" hidden="1">#REF!</definedName>
    <definedName name="lbla27" hidden="1">#REF!</definedName>
    <definedName name="lbla28" hidden="1">#REF!</definedName>
    <definedName name="ll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OCALIDADE">#REF!</definedName>
    <definedName name="MARCHA">#REF!</definedName>
    <definedName name="MATRIZ">#REF!</definedName>
    <definedName name="mc">#REF!</definedName>
    <definedName name="meiofio">#REF!</definedName>
    <definedName name="meiofio1">#REF!</definedName>
    <definedName name="mmmmm" hidden="1">{"tabela",#N/A,FALSE,"Tabela";"decoração",#N/A,FALSE,"Decor.";"Informações",#N/A,FALSE,"Inform."}</definedName>
    <definedName name="mmmmm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ONT">#REF!</definedName>
    <definedName name="N">#REF!</definedName>
    <definedName name="NADA">#REF!</definedName>
    <definedName name="nbdcjhadjagdfajsgfajsdgfsda">CONCATENATE(#REF!," ",#REF!)</definedName>
    <definedName name="NBV" hidden="1">{#N/A,#N/A,FALSE,"Plan1";#N/A,#N/A,FALSE,"Plan2"}</definedName>
    <definedName name="NCOMPOSICOES">0</definedName>
    <definedName name="NCOTACOES">0</definedName>
    <definedName name="NEMPRESAS">3</definedName>
    <definedName name="NINDICES">1</definedName>
    <definedName name="nino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nino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N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NN" hidden="1">{#N/A,#N/A,FALSE,"Plan1";#N/A,#N/A,FALSE,"Plan2"}</definedName>
    <definedName name="NRELATORIOS">COUNTA(#REF!)-2</definedName>
    <definedName name="NumerEmpresa">3</definedName>
    <definedName name="NumerIndice">1</definedName>
    <definedName name="NumofGrpAccts" hidden="1">2</definedName>
    <definedName name="O">#REF!</definedName>
    <definedName name="OI">#REF!</definedName>
    <definedName name="orcamento">#REF!</definedName>
    <definedName name="Paisagismo_Consulta">#REF!</definedName>
    <definedName name="PAVIMENTAÇÃO">#REF!</definedName>
    <definedName name="pedreira">#REF!</definedName>
    <definedName name="PERIODOEDMILSON">#REF!</definedName>
    <definedName name="pesobrita">#REF!</definedName>
    <definedName name="pesoespecifico">#REF!</definedName>
    <definedName name="PI">#REF!</definedName>
    <definedName name="plan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ilha_becos_vielas">#REF!</definedName>
    <definedName name="Planilha_becos_vielas_6">#REF!</definedName>
    <definedName name="plantio2" hidden="1">#REF!</definedName>
    <definedName name="Predio_02_andares_Consulta">#REF!</definedName>
    <definedName name="Preparo_Terreno">#REF!</definedName>
    <definedName name="pv">#REF!</definedName>
    <definedName name="Q">#REF!</definedName>
    <definedName name="qq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q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q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1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q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ralo">#REF!</definedName>
    <definedName name="RAWE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_SERVICOS">#REF!</definedName>
    <definedName name="RelatoriosFontes">OFFSET(#REF!,1,0,NRELATORIOS)</definedName>
    <definedName name="rodacasa">#REF!</definedName>
    <definedName name="Roger" hidden="1">"                                                                                                                                                                                                                                                            38"</definedName>
    <definedName name="RowLevel" hidden="1">1</definedName>
    <definedName name="s">#REF!</definedName>
    <definedName name="SADASDSAD">#REF!</definedName>
    <definedName name="SAIBRO">#REF!</definedName>
    <definedName name="SAPBEXdnldView" hidden="1">"77KPSHU0KFR69JCAI5U3RDQTZ"</definedName>
    <definedName name="SAPBEXrevision" hidden="1">1</definedName>
    <definedName name="SAPBEXsysID" hidden="1">"BP0"</definedName>
    <definedName name="SAPBEXwbID" hidden="1">"46N210UZD7ER8VUKGA6KWCWVB"</definedName>
    <definedName name="sbb" hidden="1">{#N/A,#N/A,FALSE,"Plan1";#N/A,#N/A,FALSE,"Plan2"}</definedName>
    <definedName name="SD" hidden="1">{#N/A,#N/A,FALSE,"Plan1";#N/A,#N/A,FALSE,"Plan2"}</definedName>
    <definedName name="sdf">#REF!</definedName>
    <definedName name="Sede_Detran_Consulta">#REF!</definedName>
    <definedName name="SENHAGT" hidden="1">"PM2CAIXA"</definedName>
    <definedName name="ser">#REF!</definedName>
    <definedName name="Ser200506_6">#REF!</definedName>
    <definedName name="SERVIÇOS_COMPLEMENTARES">#REF!</definedName>
    <definedName name="SERVIÇOS_PRELIMINARES">#REF!</definedName>
    <definedName name="Servicos_Tecnicos">#REF!</definedName>
    <definedName name="Servicos_Tecnicos_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19.66</definedName>
    <definedName name="s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SSS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SS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wvu.PLANILHA2." hidden="1">#REF!</definedName>
    <definedName name="tab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mpao">#REF!</definedName>
    <definedName name="TaxaVazao">#REF!</definedName>
    <definedName name="TBdbName" hidden="1">"88D5BF544BE111D2B8C5006097494125.mdb"</definedName>
    <definedName name="TERRAPLENAGEM">#REF!</definedName>
    <definedName name="TESTE">#REF!</definedName>
    <definedName name="TESTE2">#REF!</definedName>
    <definedName name="TextRefCopyRangeCount" hidden="1">68</definedName>
    <definedName name="TITULOS">#REF!</definedName>
    <definedName name="_xlnm.Print_Titles" localSheetId="0">CUSTO!$2:$3</definedName>
    <definedName name="_xlnm.Print_Titles">#REF!</definedName>
    <definedName name="TOTAL_GERAL_DA_OBRA">#REF!</definedName>
    <definedName name="TOTAL_GERAL_DO_SUBTÍTULO_A">#REF!</definedName>
    <definedName name="TOTAL1">#REF!</definedName>
    <definedName name="TOTAL10">#REF!</definedName>
    <definedName name="TOTAL11">#REF!</definedName>
    <definedName name="TOTAL12">#REF!</definedName>
    <definedName name="TOTAL13">#REF!</definedName>
    <definedName name="TOTAL14">#REF!</definedName>
    <definedName name="TOTAL15">#REF!</definedName>
    <definedName name="TOTAL16">#REF!</definedName>
    <definedName name="TOTAL17">#REF!</definedName>
    <definedName name="TOTAL18">#REF!</definedName>
    <definedName name="TOTAL19">#REF!</definedName>
    <definedName name="TOTAL1A">#REF!</definedName>
    <definedName name="TOTAL1C">#REF!</definedName>
    <definedName name="TOTAL2">#REF!</definedName>
    <definedName name="TOTAL2A">#REF!</definedName>
    <definedName name="TOTAL3">#REF!</definedName>
    <definedName name="TOTAL3A">#REF!</definedName>
    <definedName name="TOTAL4">#REF!</definedName>
    <definedName name="TOTAL4A">#REF!</definedName>
    <definedName name="TOTAL5">#REF!</definedName>
    <definedName name="TOTAL5A">#REF!</definedName>
    <definedName name="TOTAL6">#REF!</definedName>
    <definedName name="TOTAL6A">#REF!</definedName>
    <definedName name="TOTAL7">#REF!</definedName>
    <definedName name="TOTAL7A">#REF!</definedName>
    <definedName name="TOTAL7B">#REF!</definedName>
    <definedName name="TOTAL7C">#REF!</definedName>
    <definedName name="TOTAL7D">#REF!</definedName>
    <definedName name="TOTAL7E">#REF!</definedName>
    <definedName name="TOTAL7F">#REF!</definedName>
    <definedName name="TOTAL7G">#REF!</definedName>
    <definedName name="TOTAL7H">#REF!</definedName>
    <definedName name="TOTAL7I">#REF!</definedName>
    <definedName name="TOTAL7J">#REF!</definedName>
    <definedName name="TOTAL7K">#REF!</definedName>
    <definedName name="TOTAL7L">#REF!</definedName>
    <definedName name="TOTAL7O">#REF!</definedName>
    <definedName name="TOTAL7P">#REF!</definedName>
    <definedName name="TOTAL7Q">#REF!</definedName>
    <definedName name="TOTAL7R">#REF!</definedName>
    <definedName name="TOTAL8">#REF!</definedName>
    <definedName name="TOTAL8A">#REF!</definedName>
    <definedName name="TOTAL8B">#REF!</definedName>
    <definedName name="TOTAL8C">#REF!</definedName>
    <definedName name="TOTAL8D">#REF!</definedName>
    <definedName name="TOTAL8E">#REF!</definedName>
    <definedName name="TOTAL8F">#REF!</definedName>
    <definedName name="TOTAL8G">#REF!</definedName>
    <definedName name="TOTAL8H">#REF!</definedName>
    <definedName name="TOTAL8I">#REF!</definedName>
    <definedName name="TOTAL8J">#REF!</definedName>
    <definedName name="TOTAL8K">#REF!</definedName>
    <definedName name="TOTAL8L">#REF!</definedName>
    <definedName name="TOTAL8O">#REF!</definedName>
    <definedName name="TOTAL8P">#REF!</definedName>
    <definedName name="TOTAL8Q">#REF!</definedName>
    <definedName name="TOTAL8R">#REF!</definedName>
    <definedName name="TOTAL9">#REF!</definedName>
    <definedName name="TOTALA">#REF!</definedName>
    <definedName name="TOTALB">#REF!</definedName>
    <definedName name="TOTALC">#REF!</definedName>
    <definedName name="TOTALD">#REF!</definedName>
    <definedName name="TOTALE">#REF!</definedName>
    <definedName name="TOTALF">#REF!</definedName>
    <definedName name="TOTALG">#REF!</definedName>
    <definedName name="TOTALH">#REF!</definedName>
    <definedName name="TOTALI">#REF!</definedName>
    <definedName name="TOTALJ">#REF!</definedName>
    <definedName name="TOTALK">#REF!</definedName>
    <definedName name="TOTALL">#REF!</definedName>
    <definedName name="TOTALO">#REF!</definedName>
    <definedName name="TOTALP">#REF!</definedName>
    <definedName name="TOTALQ">#REF!</definedName>
    <definedName name="tribobó">#REF!</definedName>
    <definedName name="trindade">#REF!</definedName>
    <definedName name="UILU" hidden="1">{#N/A,#N/A,FALSE,"Plan1";#N/A,#N/A,FALSE,"Plan2"}</definedName>
    <definedName name="usina">#REF!</definedName>
    <definedName name="V">#REF!</definedName>
    <definedName name="VALOREDMILSON">#REF!</definedName>
    <definedName name="VAR">#REF!</definedName>
    <definedName name="VN" hidden="1">{#N/A,#N/A,FALSE,"Plan1";#N/A,#N/A,FALSE,"Plan2"}</definedName>
    <definedName name="volumedebrita">#REF!</definedName>
    <definedName name="volumedecorte">#REF!</definedName>
    <definedName name="volumedepv">#REF!</definedName>
    <definedName name="vvbb" hidden="1">{"tabela",#N/A,FALSE,"Tabela";"decoração",#N/A,FALSE,"Decor.";"Informações",#N/A,FALSE,"Inform."}</definedName>
    <definedName name="vvcbnb" hidden="1">{#N/A,#N/A,FALSE,"Plan1";#N/A,#N/A,FALSE,"Plan2"}</definedName>
    <definedName name="vvvvv" hidden="1">{#N/A,#N/A,FALSE,"Plan1";#N/A,#N/A,FALSE,"Plan2"}</definedName>
    <definedName name="vvvvvv" hidden="1">{#N/A,#N/A,FALSE,"Plan1";#N/A,#N/A,FALSE,"Plan2"}</definedName>
    <definedName name="w" hidden="1">#REF!</definedName>
    <definedName name="WAN">#REF!</definedName>
    <definedName name="WERD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ILLY">#REF!</definedName>
    <definedName name="wrn.Aging._.and._.Trend._.Analysis." hidden="1">{#N/A,#N/A,FALSE,"Aging Summary";#N/A,#N/A,FALSE,"Ratio Analysis";#N/A,#N/A,FALSE,"Test 120 Day Accts";#N/A,#N/A,FALSE,"Tickmarks"}</definedName>
    <definedName name="wrn.impresión.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SO." hidden="1">{#N/A,#N/A,FALSE,"Plan1";#N/A,#N/A,FALSE,"Plan2"}</definedName>
    <definedName name="wrn.Imprimir." hidden="1">{"tabela",#N/A,FALSE,"Tabela";"decoração",#N/A,FALSE,"Decor.";"Informações",#N/A,FALSE,"Inform."}</definedName>
    <definedName name="wrn.OPP." hidden="1">{#N/A,#N/A,FALSE,"Brazil Summary";#N/A,#N/A,FALSE,"SEA CIF Summary";#N/A,#N/A,FALSE,"USGC Contract";#N/A,#N/A,FALSE,"USGC Spot";#N/A,#N/A,FALSE,"Brazil Base Cycle ";#N/A,#N/A,FALSE,"Brazil Base Trend";#N/A,#N/A,FALSE,"Brazil Low Cycle";#N/A,#N/A,FALSE,"Brazil Low Trend";#N/A,#N/A,FALSE,"Variables"}</definedName>
    <definedName name="wrn.VENTAS.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rint_Todo.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1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Socios._.95.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" hidden="1">{#N/A,#N/A,FALSE,"Plan1";#N/A,#N/A,FALSE,"Plan2"}</definedName>
    <definedName name="XCFV" hidden="1">{#N/A,#N/A,FALSE,"Plan1";#N/A,#N/A,FALSE,"Plan2"}</definedName>
    <definedName name="XC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_1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XXX010160100">#REF!</definedName>
    <definedName name="xxxx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yyy" hidden="1">#REF!</definedName>
    <definedName name="ZXD" hidden="1">{#N/A,#N/A,FALSE,"Plan1";#N/A,#N/A,FALSE,"Plan2"}</definedName>
    <definedName name="zz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3" i="1" l="1"/>
  <c r="K76" i="1" s="1"/>
  <c r="J73" i="1"/>
  <c r="J76" i="1" s="1"/>
  <c r="Q72" i="1"/>
  <c r="Q71" i="1"/>
  <c r="Q70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Q68" i="1"/>
  <c r="Q67" i="1"/>
  <c r="Q66" i="1"/>
  <c r="Q65" i="1"/>
  <c r="Q64" i="1"/>
  <c r="Q63" i="1"/>
  <c r="Q62" i="1" s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Q61" i="1"/>
  <c r="Q58" i="1" s="1"/>
  <c r="Q60" i="1"/>
  <c r="I60" i="1"/>
  <c r="H60" i="1"/>
  <c r="G60" i="1"/>
  <c r="Q59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Q57" i="1"/>
  <c r="Q56" i="1"/>
  <c r="Q55" i="1"/>
  <c r="Q54" i="1"/>
  <c r="Q53" i="1"/>
  <c r="Q52" i="1"/>
  <c r="Q51" i="1"/>
  <c r="Q50" i="1"/>
  <c r="Q49" i="1"/>
  <c r="Q48" i="1"/>
  <c r="H47" i="1"/>
  <c r="Q47" i="1" s="1"/>
  <c r="Q46" i="1"/>
  <c r="Q45" i="1"/>
  <c r="J45" i="1"/>
  <c r="I45" i="1"/>
  <c r="Q44" i="1"/>
  <c r="E43" i="1"/>
  <c r="Q43" i="1" s="1"/>
  <c r="Q42" i="1"/>
  <c r="Q41" i="1"/>
  <c r="H40" i="1"/>
  <c r="Q40" i="1" s="1"/>
  <c r="Q39" i="1"/>
  <c r="Q38" i="1"/>
  <c r="Q37" i="1"/>
  <c r="Q36" i="1"/>
  <c r="Q35" i="1"/>
  <c r="P34" i="1"/>
  <c r="O34" i="1"/>
  <c r="N34" i="1"/>
  <c r="M34" i="1"/>
  <c r="L34" i="1"/>
  <c r="K34" i="1"/>
  <c r="J34" i="1"/>
  <c r="I34" i="1"/>
  <c r="G34" i="1"/>
  <c r="F34" i="1"/>
  <c r="E34" i="1"/>
  <c r="D34" i="1"/>
  <c r="C34" i="1"/>
  <c r="Q33" i="1"/>
  <c r="Q32" i="1"/>
  <c r="Q31" i="1"/>
  <c r="Q30" i="1"/>
  <c r="Q29" i="1"/>
  <c r="Q28" i="1"/>
  <c r="Q27" i="1"/>
  <c r="I26" i="1"/>
  <c r="I24" i="1" s="1"/>
  <c r="F26" i="1"/>
  <c r="Q26" i="1" s="1"/>
  <c r="Q24" i="1" s="1"/>
  <c r="Q25" i="1"/>
  <c r="P24" i="1"/>
  <c r="O24" i="1"/>
  <c r="N24" i="1"/>
  <c r="N73" i="1" s="1"/>
  <c r="N76" i="1" s="1"/>
  <c r="M24" i="1"/>
  <c r="M73" i="1" s="1"/>
  <c r="M76" i="1" s="1"/>
  <c r="L24" i="1"/>
  <c r="L73" i="1" s="1"/>
  <c r="L76" i="1" s="1"/>
  <c r="K24" i="1"/>
  <c r="J24" i="1"/>
  <c r="H24" i="1"/>
  <c r="G24" i="1"/>
  <c r="E24" i="1"/>
  <c r="D24" i="1"/>
  <c r="C24" i="1"/>
  <c r="Q23" i="1"/>
  <c r="Q22" i="1"/>
  <c r="Q21" i="1"/>
  <c r="Q20" i="1"/>
  <c r="Q19" i="1"/>
  <c r="P19" i="1"/>
  <c r="O19" i="1"/>
  <c r="O73" i="1" s="1"/>
  <c r="O76" i="1" s="1"/>
  <c r="N19" i="1"/>
  <c r="M19" i="1"/>
  <c r="L19" i="1"/>
  <c r="K19" i="1"/>
  <c r="J19" i="1"/>
  <c r="I19" i="1"/>
  <c r="H19" i="1"/>
  <c r="G19" i="1"/>
  <c r="F19" i="1"/>
  <c r="E19" i="1"/>
  <c r="D19" i="1"/>
  <c r="C19" i="1"/>
  <c r="Q18" i="1"/>
  <c r="Q17" i="1"/>
  <c r="Q16" i="1"/>
  <c r="Q15" i="1"/>
  <c r="E14" i="1"/>
  <c r="Q14" i="1" s="1"/>
  <c r="Q13" i="1"/>
  <c r="E12" i="1"/>
  <c r="Q12" i="1" s="1"/>
  <c r="I11" i="1"/>
  <c r="H11" i="1"/>
  <c r="G11" i="1"/>
  <c r="Q11" i="1" s="1"/>
  <c r="I10" i="1"/>
  <c r="G10" i="1"/>
  <c r="Q10" i="1" s="1"/>
  <c r="I9" i="1"/>
  <c r="H9" i="1"/>
  <c r="Q9" i="1" s="1"/>
  <c r="Q8" i="1"/>
  <c r="I8" i="1"/>
  <c r="Q7" i="1"/>
  <c r="I6" i="1"/>
  <c r="F6" i="1"/>
  <c r="E6" i="1"/>
  <c r="D6" i="1"/>
  <c r="C6" i="1"/>
  <c r="I5" i="1"/>
  <c r="I4" i="1" s="1"/>
  <c r="H5" i="1"/>
  <c r="H6" i="1" s="1"/>
  <c r="G5" i="1"/>
  <c r="Q5" i="1" s="1"/>
  <c r="P4" i="1"/>
  <c r="P73" i="1" s="1"/>
  <c r="P76" i="1" s="1"/>
  <c r="O4" i="1"/>
  <c r="N4" i="1"/>
  <c r="M4" i="1"/>
  <c r="L4" i="1"/>
  <c r="K4" i="1"/>
  <c r="J4" i="1"/>
  <c r="F4" i="1"/>
  <c r="E4" i="1"/>
  <c r="E73" i="1" s="1"/>
  <c r="D4" i="1"/>
  <c r="D73" i="1" s="1"/>
  <c r="C4" i="1"/>
  <c r="C73" i="1" s="1"/>
  <c r="Q34" i="1" l="1"/>
  <c r="I73" i="1"/>
  <c r="AA65" i="1" s="1"/>
  <c r="H34" i="1"/>
  <c r="H4" i="1"/>
  <c r="H73" i="1" s="1"/>
  <c r="G6" i="1"/>
  <c r="Q6" i="1" s="1"/>
  <c r="Q4" i="1" s="1"/>
  <c r="Q73" i="1" s="1"/>
  <c r="F24" i="1"/>
  <c r="F73" i="1" s="1"/>
  <c r="G4" i="1" l="1"/>
  <c r="G73" i="1" s="1"/>
  <c r="Q75" i="1" s="1"/>
</calcChain>
</file>

<file path=xl/sharedStrings.xml><?xml version="1.0" encoding="utf-8"?>
<sst xmlns="http://schemas.openxmlformats.org/spreadsheetml/2006/main" count="141" uniqueCount="139">
  <si>
    <t>CONTROLE DE CUSTOS</t>
  </si>
  <si>
    <t>ITENS</t>
  </si>
  <si>
    <t>TOTAL</t>
  </si>
  <si>
    <t>1.0</t>
  </si>
  <si>
    <t>TOTAL MÃO DE OBRA</t>
  </si>
  <si>
    <t>1.1</t>
  </si>
  <si>
    <t xml:space="preserve">SALARIO </t>
  </si>
  <si>
    <t>1.2</t>
  </si>
  <si>
    <t>ENCARGOS</t>
  </si>
  <si>
    <t>1.3</t>
  </si>
  <si>
    <t>SALARIO PJ</t>
  </si>
  <si>
    <t>1.4</t>
  </si>
  <si>
    <t>ALIMENTAÇÃO</t>
  </si>
  <si>
    <t>1.5</t>
  </si>
  <si>
    <t>VA e VR</t>
  </si>
  <si>
    <t>1.6</t>
  </si>
  <si>
    <t>VT</t>
  </si>
  <si>
    <t>1.7</t>
  </si>
  <si>
    <r>
      <t xml:space="preserve">PLANO </t>
    </r>
    <r>
      <rPr>
        <sz val="9"/>
        <color theme="1"/>
        <rFont val="Calibri"/>
        <family val="2"/>
        <scheme val="minor"/>
      </rPr>
      <t>ODONTOLÓGICO / SAÚDE</t>
    </r>
  </si>
  <si>
    <t>1.8</t>
  </si>
  <si>
    <r>
      <t>EXAMES</t>
    </r>
    <r>
      <rPr>
        <sz val="8"/>
        <color theme="1"/>
        <rFont val="Calibri"/>
        <family val="2"/>
        <scheme val="minor"/>
      </rPr>
      <t xml:space="preserve"> (SAÚDE OCUPACIONAL)</t>
    </r>
  </si>
  <si>
    <t>1.9</t>
  </si>
  <si>
    <t>FERRAMENTAS</t>
  </si>
  <si>
    <t>1.10</t>
  </si>
  <si>
    <t>EPI's + EPC's</t>
  </si>
  <si>
    <t>1.11</t>
  </si>
  <si>
    <t>ALOJAMENTO (Aluguel e Caução)</t>
  </si>
  <si>
    <t>1.12</t>
  </si>
  <si>
    <t>TAXA SINDICATO</t>
  </si>
  <si>
    <t>3,022,25</t>
  </si>
  <si>
    <t>1.13</t>
  </si>
  <si>
    <t>1.14</t>
  </si>
  <si>
    <t>2.0</t>
  </si>
  <si>
    <t>TOTAL SERVIÇOS TERCERIZADOS</t>
  </si>
  <si>
    <t>2.1</t>
  </si>
  <si>
    <t>PROJETOS</t>
  </si>
  <si>
    <t>2.2</t>
  </si>
  <si>
    <t>TOPOGRAFIA/ENSAIOS</t>
  </si>
  <si>
    <t>2.3</t>
  </si>
  <si>
    <t>PAVIMENTAÇÃO EM CBUQ ENGEBIO</t>
  </si>
  <si>
    <t>2.4</t>
  </si>
  <si>
    <t>EMPREITEIRO NOVA LJE(calçada)</t>
  </si>
  <si>
    <t>INCLUIDO</t>
  </si>
  <si>
    <t>3.0</t>
  </si>
  <si>
    <t>TOTAL MATERIAL</t>
  </si>
  <si>
    <t>3.1</t>
  </si>
  <si>
    <t>AGREGADO OBRA</t>
  </si>
  <si>
    <t>3.2</t>
  </si>
  <si>
    <t>ARTEFATOS DE CONCRETO</t>
  </si>
  <si>
    <t>3.3</t>
  </si>
  <si>
    <t>TUBOS E CONEXÕES PVC</t>
  </si>
  <si>
    <t>3.4</t>
  </si>
  <si>
    <t>PLACA DE OBRA / SINALIZAÇÃO</t>
  </si>
  <si>
    <t>3.5</t>
  </si>
  <si>
    <t>AÇO</t>
  </si>
  <si>
    <t>3.6</t>
  </si>
  <si>
    <t>BOTA FORA</t>
  </si>
  <si>
    <t>3.7</t>
  </si>
  <si>
    <t>CIMENTO</t>
  </si>
  <si>
    <t>3.8</t>
  </si>
  <si>
    <t>MATERIAIS DIVERSOS</t>
  </si>
  <si>
    <t>3.9</t>
  </si>
  <si>
    <t>MATERIAIS USINA ENGEBIO</t>
  </si>
  <si>
    <t>4.0</t>
  </si>
  <si>
    <t>TOTAL EQUIP. E VEICULOS</t>
  </si>
  <si>
    <t>4.1</t>
  </si>
  <si>
    <t>LOC. CAMINHÃO AC GOMES</t>
  </si>
  <si>
    <t>4.2</t>
  </si>
  <si>
    <t>LOC. RETRO AC GOMES</t>
  </si>
  <si>
    <t>4.3</t>
  </si>
  <si>
    <t>LOC. MINIESCAV AC GOMES</t>
  </si>
  <si>
    <t>4.4</t>
  </si>
  <si>
    <t>LOC. RETRO AFG CONSTR</t>
  </si>
  <si>
    <t>4.5</t>
  </si>
  <si>
    <t>LOC. PATROL AFG CONSTR</t>
  </si>
  <si>
    <t>4.6</t>
  </si>
  <si>
    <t>LOC. EQUIP AVULSOS (blindagem)</t>
  </si>
  <si>
    <t>4.7</t>
  </si>
  <si>
    <t>LOC. BANHEIRO Q C/LIMPEZA</t>
  </si>
  <si>
    <t>4.8</t>
  </si>
  <si>
    <t>CARRETEIROS</t>
  </si>
  <si>
    <t>4.9</t>
  </si>
  <si>
    <t>LOC. EQP LEVES E DIVER</t>
  </si>
  <si>
    <t>4.10</t>
  </si>
  <si>
    <t>LOCAÇÃO CONTEINER</t>
  </si>
  <si>
    <t>4.11</t>
  </si>
  <si>
    <t>LOC. VEÍCULOS PASSEIO</t>
  </si>
  <si>
    <t>4.12</t>
  </si>
  <si>
    <t>LOC. RETRO FGO LOCAÇÃO</t>
  </si>
  <si>
    <t>4.13</t>
  </si>
  <si>
    <t>LOC. PIPA PABLO JARDIM</t>
  </si>
  <si>
    <t>4.14</t>
  </si>
  <si>
    <t>LOC. ROLO AFG CONSTR</t>
  </si>
  <si>
    <t>4.15</t>
  </si>
  <si>
    <t>LOC. RETRO 2 AC GOMES</t>
  </si>
  <si>
    <t>4.16</t>
  </si>
  <si>
    <t>LOC. BETONEIRA ENGEBIO</t>
  </si>
  <si>
    <t>4.17</t>
  </si>
  <si>
    <t>LOC. EXTRUSORA ENGEBIO</t>
  </si>
  <si>
    <t>4.18</t>
  </si>
  <si>
    <t>LOC. PATROL ENGEBIO</t>
  </si>
  <si>
    <t>4.19</t>
  </si>
  <si>
    <t>LOC. RETRO ENGEBIO</t>
  </si>
  <si>
    <t>4.20</t>
  </si>
  <si>
    <t>LOC. MUNCK ELEVA</t>
  </si>
  <si>
    <t>4.21</t>
  </si>
  <si>
    <t>LOC. ESCAVADEIRA ENGEBIO</t>
  </si>
  <si>
    <t>4.22</t>
  </si>
  <si>
    <t>LOC. BETONEIRA 2 ENGEBIO</t>
  </si>
  <si>
    <t>4.23</t>
  </si>
  <si>
    <t>LOC. CAMINHÃO AFG CONSTR</t>
  </si>
  <si>
    <t>5.0</t>
  </si>
  <si>
    <t>TOTAL MANUTENÇÃO</t>
  </si>
  <si>
    <t>5.1</t>
  </si>
  <si>
    <t>VALE COMB (veiculos passeios)</t>
  </si>
  <si>
    <t>5.2</t>
  </si>
  <si>
    <t>VALE COMB (maq, caminhões e equip)</t>
  </si>
  <si>
    <t>5.3</t>
  </si>
  <si>
    <t>OLEO LUBRIFICANTE</t>
  </si>
  <si>
    <t>6.0</t>
  </si>
  <si>
    <t>TOTAL DIVERSOS</t>
  </si>
  <si>
    <t>6.1</t>
  </si>
  <si>
    <t>REEBOLSO/ CAXINHA</t>
  </si>
  <si>
    <t>6.2</t>
  </si>
  <si>
    <r>
      <t>CUSTO FIXO(</t>
    </r>
    <r>
      <rPr>
        <sz val="10"/>
        <color theme="1"/>
        <rFont val="Calibri"/>
        <family val="2"/>
        <scheme val="minor"/>
      </rPr>
      <t>água, Luz, Internet,.)</t>
    </r>
  </si>
  <si>
    <t>6.3</t>
  </si>
  <si>
    <t>SEGUROS 5X</t>
  </si>
  <si>
    <t>6.4</t>
  </si>
  <si>
    <r>
      <t xml:space="preserve">MAT </t>
    </r>
    <r>
      <rPr>
        <sz val="8"/>
        <color theme="1"/>
        <rFont val="Calibri"/>
        <family val="2"/>
        <scheme val="minor"/>
      </rPr>
      <t>ESCRITÓRIO/ LIMPEZA</t>
    </r>
  </si>
  <si>
    <t>6.5</t>
  </si>
  <si>
    <t>MOBILIARIOS E EQUIP (mòveis escritório + república)</t>
  </si>
  <si>
    <t>6.6</t>
  </si>
  <si>
    <t>TAXAS DIVERSAS</t>
  </si>
  <si>
    <t>7.0</t>
  </si>
  <si>
    <t>TOTAL OUTROS</t>
  </si>
  <si>
    <t>7.1</t>
  </si>
  <si>
    <t>7.2</t>
  </si>
  <si>
    <t>7.3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</si>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</sst>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43" fontId="3" fillId="0" borderId="0" xfId="1" applyFont="1" applyAlignment="1">
      <alignment vertical="center"/>
    </xf>
    <xf numFmtId="43" fontId="0" fillId="0" borderId="0" xfId="1" applyFont="1" applyAlignment="1">
      <alignment vertical="center"/>
    </xf>
    <xf numFmtId="0" fontId="0" fillId="0" borderId="0" xfId="0" applyAlignment="1">
      <alignment vertical="center"/>
    </xf>
    <xf numFmtId="0" fontId="4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/>
    </xf>
    <xf numFmtId="17" fontId="4" fillId="3" borderId="0" xfId="1" applyNumberFormat="1" applyFont="1" applyFill="1" applyAlignment="1">
      <alignment horizontal="center" vertical="center"/>
    </xf>
    <xf numFmtId="43" fontId="4" fillId="3" borderId="0" xfId="1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43" fontId="4" fillId="2" borderId="0" xfId="1" applyFont="1" applyFill="1" applyAlignment="1">
      <alignment horizontal="center" vertical="center"/>
    </xf>
    <xf numFmtId="43" fontId="0" fillId="0" borderId="0" xfId="0" applyNumberFormat="1" applyAlignment="1">
      <alignment vertical="center"/>
    </xf>
    <xf numFmtId="0" fontId="7" fillId="3" borderId="1" xfId="0" applyFont="1" applyFill="1" applyBorder="1" applyAlignment="1">
      <alignment horizontal="left" vertical="center" wrapText="1"/>
    </xf>
    <xf numFmtId="43" fontId="3" fillId="3" borderId="0" xfId="1" applyFont="1" applyFill="1" applyAlignment="1">
      <alignment horizontal="center" vertical="center"/>
    </xf>
    <xf numFmtId="43" fontId="3" fillId="2" borderId="0" xfId="1" applyFont="1" applyFill="1" applyAlignment="1">
      <alignment horizontal="center" vertical="center"/>
    </xf>
    <xf numFmtId="43" fontId="2" fillId="0" borderId="0" xfId="1" applyFont="1" applyAlignment="1">
      <alignment vertical="center"/>
    </xf>
    <xf numFmtId="43" fontId="8" fillId="0" borderId="0" xfId="1" applyFont="1" applyAlignment="1">
      <alignment vertical="center"/>
    </xf>
    <xf numFmtId="0" fontId="2" fillId="0" borderId="0" xfId="0" applyFont="1" applyAlignment="1">
      <alignment vertical="center"/>
    </xf>
    <xf numFmtId="0" fontId="2" fillId="4" borderId="0" xfId="0" applyFont="1" applyFill="1" applyAlignment="1">
      <alignment vertical="center"/>
    </xf>
    <xf numFmtId="43" fontId="8" fillId="4" borderId="0" xfId="1" applyFont="1" applyFill="1" applyAlignment="1">
      <alignment vertical="center"/>
    </xf>
    <xf numFmtId="43" fontId="2" fillId="4" borderId="0" xfId="1" applyFont="1" applyFill="1" applyAlignment="1">
      <alignment vertical="center"/>
    </xf>
    <xf numFmtId="43" fontId="8" fillId="4" borderId="0" xfId="1" applyFont="1" applyFill="1" applyAlignment="1">
      <alignment horizontal="left" vertical="center"/>
    </xf>
    <xf numFmtId="43" fontId="3" fillId="3" borderId="0" xfId="1" applyFont="1" applyFill="1" applyAlignment="1">
      <alignment horizontal="right" vertical="center"/>
    </xf>
    <xf numFmtId="43" fontId="11" fillId="0" borderId="0" xfId="1" applyFont="1" applyAlignment="1">
      <alignment vertical="center"/>
    </xf>
    <xf numFmtId="0" fontId="11" fillId="0" borderId="0" xfId="0" applyFont="1" applyAlignment="1">
      <alignment vertical="center"/>
    </xf>
    <xf numFmtId="43" fontId="12" fillId="0" borderId="0" xfId="1" applyFont="1" applyAlignment="1">
      <alignment vertical="center"/>
    </xf>
    <xf numFmtId="0" fontId="12" fillId="0" borderId="0" xfId="0" applyFont="1" applyAlignment="1">
      <alignment vertical="center"/>
    </xf>
    <xf numFmtId="0" fontId="7" fillId="3" borderId="0" xfId="0" applyFont="1" applyFill="1" applyAlignment="1">
      <alignment horizontal="left" vertical="center" wrapText="1"/>
    </xf>
    <xf numFmtId="43" fontId="12" fillId="4" borderId="0" xfId="1" applyFont="1" applyFill="1" applyAlignment="1">
      <alignment vertical="center"/>
    </xf>
    <xf numFmtId="43" fontId="3" fillId="5" borderId="0" xfId="1" applyFont="1" applyFill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43" fontId="13" fillId="0" borderId="0" xfId="1" applyFont="1" applyAlignment="1">
      <alignment vertical="center"/>
    </xf>
    <xf numFmtId="43" fontId="13" fillId="0" borderId="0" xfId="1" applyFont="1" applyAlignment="1">
      <alignment horizontal="right" vertical="center"/>
    </xf>
    <xf numFmtId="43" fontId="14" fillId="2" borderId="0" xfId="1" applyFont="1" applyFill="1" applyAlignment="1">
      <alignment horizontal="center" vertical="center"/>
    </xf>
    <xf numFmtId="0" fontId="12" fillId="3" borderId="1" xfId="0" applyFont="1" applyFill="1" applyBorder="1" applyAlignment="1">
      <alignment horizontal="left" vertical="center" wrapText="1"/>
    </xf>
    <xf numFmtId="43" fontId="2" fillId="0" borderId="0" xfId="0" applyNumberFormat="1" applyFont="1" applyAlignment="1">
      <alignment vertical="center"/>
    </xf>
    <xf numFmtId="43" fontId="16" fillId="0" borderId="0" xfId="1" applyFont="1" applyAlignment="1">
      <alignment vertical="center"/>
    </xf>
    <xf numFmtId="0" fontId="16" fillId="0" borderId="0" xfId="0" applyFont="1" applyAlignment="1">
      <alignment vertical="center"/>
    </xf>
    <xf numFmtId="43" fontId="6" fillId="2" borderId="0" xfId="1" applyFont="1" applyFill="1" applyBorder="1" applyAlignment="1">
      <alignment vertical="center" wrapText="1"/>
    </xf>
    <xf numFmtId="43" fontId="3" fillId="0" borderId="0" xfId="1" applyFont="1" applyAlignment="1">
      <alignment horizontal="left" vertical="center"/>
    </xf>
    <xf numFmtId="43" fontId="4" fillId="0" borderId="0" xfId="1" applyFont="1" applyAlignment="1">
      <alignment horizontal="center" vertical="center"/>
    </xf>
    <xf numFmtId="43" fontId="15" fillId="0" borderId="0" xfId="1" applyFont="1" applyAlignment="1">
      <alignment vertical="center"/>
    </xf>
    <xf numFmtId="43" fontId="4" fillId="0" borderId="0" xfId="1" applyFont="1" applyAlignment="1">
      <alignment vertical="center"/>
    </xf>
    <xf numFmtId="43" fontId="1" fillId="0" borderId="0" xfId="1" applyFont="1" applyAlignment="1">
      <alignment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138545</xdr:colOff>
      <xdr:row>1</xdr:row>
      <xdr:rowOff>69274</xdr:rowOff>
    </xdr:from>
    <xdr:ext cx="2286000" cy="855416"/>
    <xdr:pic>
      <xdr:nvPicPr>
        <xdr:cNvPr id="2" name="Imagem 1">
          <a:extLst>
            <a:ext uri="{FF2B5EF4-FFF2-40B4-BE49-F238E27FC236}">
              <a16:creationId xmlns:a16="http://schemas.microsoft.com/office/drawing/2014/main" id="{C89E35D0-24B0-4630-A021-AB62616C9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3385" y="214054"/>
          <a:ext cx="2286000" cy="855416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8-CUSTO_Saquarema_Junho_13-07OK%20(1).xlsx" TargetMode="External"/><Relationship Id="rId2" Type="http://schemas.openxmlformats.org/officeDocument/2006/relationships/externalLinkPath" Target="file:///H:\Meu%20Drive\OBRA%20SAQUAREMA%20-%20C.C.%20113%20-%20%20IPITANGAS%20-%20DRENAGEM%20E%20PAVIMENTA&#199;&#195;O\1.12%20GEST&#195;O%20DE%20CUSTOS\8-CUSTO_Saquarema_Junho_13-07OK%20(1).xlsx" TargetMode="External"/><Relationship Id="rId1" Type="http://schemas.openxmlformats.org/officeDocument/2006/relationships/externalLinkPath" Target="/Meu%20Drive/OBRA%20SAQUAREMA%20-%20C.C.%20113%20-%20%20IPITANGAS%20-%20DRENAGEM%20E%20PAVIMENTA&#199;&#195;O/1.12%20GEST&#195;O%20DE%20CUSTOS/8-CUSTO_Saquarema_Junho_13-07OK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ANCO_dados"/>
      <sheetName val="RECEBIMENTO"/>
      <sheetName val="CC_JUNHO"/>
      <sheetName val="CUSTO"/>
      <sheetName val="CUST_EQ_ENGEB"/>
      <sheetName val="RESUMO"/>
      <sheetName val="RESUMO C_RECB"/>
      <sheetName val="MAT_ENGEBI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221C431-703F-427C-B26F-A4A7CF2E9303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6E8E5-5D0B-414E-8B0B-E39E73FB5F3F}">
  <sheetPr>
    <tabColor rgb="FFFF0000"/>
    <outlinePr summaryBelow="0" summaryRight="0"/>
  </sheetPr>
  <dimension ref="A1:AA80"/>
  <sheetViews>
    <sheetView showGridLines="0" tabSelected="1" zoomScale="55" zoomScaleNormal="55" zoomScaleSheetLayoutView="55" workbookViewId="0">
      <pane xSplit="2" ySplit="3" topLeftCell="C46" activePane="bottomRight" state="frozen"/>
      <selection pane="topRight" activeCell="B1" sqref="B1"/>
      <selection pane="bottomLeft" activeCell="A4" sqref="A4"/>
      <selection pane="bottomRight" activeCell="S24" sqref="S24"/>
    </sheetView>
  </sheetViews>
  <sheetFormatPr defaultColWidth="9.109375" defaultRowHeight="21" outlineLevelRow="1" x14ac:dyDescent="0.3"/>
  <cols>
    <col min="1" max="1" width="9.109375" style="1"/>
    <col min="2" max="2" width="40.33203125" style="2" customWidth="1"/>
    <col min="3" max="6" width="18.6640625" style="3" customWidth="1"/>
    <col min="7" max="7" width="20" style="3" customWidth="1"/>
    <col min="8" max="10" width="22.88671875" style="3" customWidth="1"/>
    <col min="11" max="16" width="22.88671875" style="3" hidden="1" customWidth="1"/>
    <col min="17" max="17" width="23.44140625" style="3" customWidth="1" collapsed="1"/>
    <col min="18" max="18" width="3" style="4" customWidth="1"/>
    <col min="19" max="19" width="16.5546875" style="5" customWidth="1"/>
    <col min="20" max="20" width="1.6640625" style="5" customWidth="1"/>
    <col min="21" max="21" width="19.6640625" style="5" customWidth="1"/>
    <col min="22" max="22" width="1.6640625" style="5" customWidth="1"/>
    <col min="23" max="23" width="19.6640625" style="5" customWidth="1"/>
    <col min="24" max="16384" width="9.109375" style="5"/>
  </cols>
  <sheetData>
    <row r="1" spans="1:23" ht="11.4" customHeight="1" x14ac:dyDescent="0.3"/>
    <row r="2" spans="1:23" ht="75.75" customHeight="1" x14ac:dyDescent="0.3">
      <c r="B2" s="6"/>
      <c r="C2" s="7" t="s">
        <v>0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1:23" ht="35.25" customHeight="1" x14ac:dyDescent="0.3">
      <c r="B3" s="8" t="s">
        <v>1</v>
      </c>
      <c r="C3" s="9">
        <v>45992</v>
      </c>
      <c r="D3" s="9">
        <v>46023</v>
      </c>
      <c r="E3" s="9">
        <v>46054</v>
      </c>
      <c r="F3" s="9">
        <v>46082</v>
      </c>
      <c r="G3" s="9">
        <v>46113</v>
      </c>
      <c r="H3" s="9">
        <v>46143</v>
      </c>
      <c r="I3" s="9">
        <v>46174</v>
      </c>
      <c r="J3" s="9">
        <v>46204</v>
      </c>
      <c r="K3" s="9">
        <v>46235</v>
      </c>
      <c r="L3" s="9">
        <v>46266</v>
      </c>
      <c r="M3" s="9">
        <v>46296</v>
      </c>
      <c r="N3" s="9">
        <v>46327</v>
      </c>
      <c r="O3" s="9">
        <v>46357</v>
      </c>
      <c r="P3" s="9">
        <v>46388</v>
      </c>
      <c r="Q3" s="10" t="s">
        <v>2</v>
      </c>
      <c r="S3" s="11"/>
      <c r="U3" s="11"/>
      <c r="W3" s="11"/>
    </row>
    <row r="4" spans="1:23" ht="32.4" customHeight="1" x14ac:dyDescent="0.3">
      <c r="A4" s="1" t="s">
        <v>3</v>
      </c>
      <c r="B4" s="12" t="s">
        <v>4</v>
      </c>
      <c r="C4" s="13">
        <f>SUM(C5:C18)</f>
        <v>20000</v>
      </c>
      <c r="D4" s="13">
        <f t="shared" ref="D4:Q4" si="0">SUM(D5:D18)</f>
        <v>80141.48</v>
      </c>
      <c r="E4" s="13">
        <f t="shared" si="0"/>
        <v>141917.79999999999</v>
      </c>
      <c r="F4" s="13">
        <f t="shared" si="0"/>
        <v>187378.56</v>
      </c>
      <c r="G4" s="13">
        <f t="shared" si="0"/>
        <v>246226.52000000002</v>
      </c>
      <c r="H4" s="13">
        <f t="shared" si="0"/>
        <v>307265.62000000005</v>
      </c>
      <c r="I4" s="13">
        <f t="shared" si="0"/>
        <v>365782.00000000006</v>
      </c>
      <c r="J4" s="13">
        <f t="shared" si="0"/>
        <v>466284.66000000003</v>
      </c>
      <c r="K4" s="13">
        <f t="shared" si="0"/>
        <v>0</v>
      </c>
      <c r="L4" s="13">
        <f t="shared" si="0"/>
        <v>0</v>
      </c>
      <c r="M4" s="13">
        <f t="shared" si="0"/>
        <v>0</v>
      </c>
      <c r="N4" s="13">
        <f t="shared" si="0"/>
        <v>0</v>
      </c>
      <c r="O4" s="13">
        <f t="shared" si="0"/>
        <v>0</v>
      </c>
      <c r="P4" s="13">
        <f t="shared" si="0"/>
        <v>0</v>
      </c>
      <c r="Q4" s="13">
        <f t="shared" si="0"/>
        <v>1814996.64</v>
      </c>
      <c r="S4" s="14"/>
    </row>
    <row r="5" spans="1:23" s="20" customFormat="1" ht="32.4" customHeight="1" x14ac:dyDescent="0.3">
      <c r="A5" s="1" t="s">
        <v>5</v>
      </c>
      <c r="B5" s="15" t="s">
        <v>6</v>
      </c>
      <c r="C5" s="16"/>
      <c r="D5" s="16">
        <v>6119</v>
      </c>
      <c r="E5" s="16">
        <v>35166</v>
      </c>
      <c r="F5" s="16">
        <v>50398</v>
      </c>
      <c r="G5" s="16">
        <f>72769+4018.9</f>
        <v>76787.899999999994</v>
      </c>
      <c r="H5" s="16">
        <f>97139+4072</f>
        <v>101211</v>
      </c>
      <c r="I5" s="16">
        <f>5088+108146</f>
        <v>113234</v>
      </c>
      <c r="J5" s="16">
        <v>140651.68</v>
      </c>
      <c r="K5" s="16"/>
      <c r="L5" s="16"/>
      <c r="M5" s="16"/>
      <c r="N5" s="16"/>
      <c r="O5" s="16"/>
      <c r="P5" s="16"/>
      <c r="Q5" s="17">
        <f t="shared" ref="Q5:Q16" si="1">SUM(C5:P5)</f>
        <v>523567.58</v>
      </c>
      <c r="R5" s="18"/>
      <c r="S5" s="19"/>
      <c r="T5" s="19"/>
      <c r="U5" s="19"/>
      <c r="V5" s="18"/>
      <c r="W5" s="18"/>
    </row>
    <row r="6" spans="1:23" s="20" customFormat="1" ht="32.4" customHeight="1" x14ac:dyDescent="0.3">
      <c r="A6" s="1" t="s">
        <v>7</v>
      </c>
      <c r="B6" s="15" t="s">
        <v>8</v>
      </c>
      <c r="C6" s="16">
        <f>C5*100%</f>
        <v>0</v>
      </c>
      <c r="D6" s="16">
        <f t="shared" ref="D6:H6" si="2">D5*100%</f>
        <v>6119</v>
      </c>
      <c r="E6" s="16">
        <f t="shared" si="2"/>
        <v>35166</v>
      </c>
      <c r="F6" s="16">
        <f t="shared" si="2"/>
        <v>50398</v>
      </c>
      <c r="G6" s="16">
        <f t="shared" si="2"/>
        <v>76787.899999999994</v>
      </c>
      <c r="H6" s="16">
        <f t="shared" si="2"/>
        <v>101211</v>
      </c>
      <c r="I6" s="16">
        <f>5088+108146</f>
        <v>113234</v>
      </c>
      <c r="J6" s="16">
        <v>140651.68</v>
      </c>
      <c r="K6" s="16"/>
      <c r="L6" s="16"/>
      <c r="M6" s="16"/>
      <c r="N6" s="16"/>
      <c r="O6" s="16"/>
      <c r="P6" s="16"/>
      <c r="Q6" s="17">
        <f t="shared" si="1"/>
        <v>523567.58</v>
      </c>
      <c r="R6" s="18"/>
      <c r="S6" s="19"/>
      <c r="T6" s="19"/>
      <c r="U6" s="19"/>
      <c r="V6" s="18"/>
      <c r="W6" s="18"/>
    </row>
    <row r="7" spans="1:23" s="20" customFormat="1" ht="32.4" customHeight="1" x14ac:dyDescent="0.3">
      <c r="A7" s="1" t="s">
        <v>9</v>
      </c>
      <c r="B7" s="15" t="s">
        <v>10</v>
      </c>
      <c r="C7" s="16">
        <v>20000</v>
      </c>
      <c r="D7" s="16">
        <v>30805</v>
      </c>
      <c r="E7" s="16">
        <v>30963.599999999999</v>
      </c>
      <c r="F7" s="16">
        <v>30963.599999999999</v>
      </c>
      <c r="G7" s="16">
        <v>30963.599999999999</v>
      </c>
      <c r="H7" s="16">
        <v>32531</v>
      </c>
      <c r="I7" s="16">
        <v>35802</v>
      </c>
      <c r="J7" s="16">
        <v>35802</v>
      </c>
      <c r="K7" s="16"/>
      <c r="L7" s="16"/>
      <c r="M7" s="16"/>
      <c r="N7" s="16"/>
      <c r="O7" s="16"/>
      <c r="P7" s="16"/>
      <c r="Q7" s="17">
        <f t="shared" si="1"/>
        <v>247830.80000000002</v>
      </c>
      <c r="R7" s="18"/>
      <c r="S7" s="19"/>
      <c r="T7" s="19"/>
      <c r="U7" s="19"/>
      <c r="V7" s="18"/>
      <c r="W7" s="18"/>
    </row>
    <row r="8" spans="1:23" s="21" customFormat="1" ht="32.4" customHeight="1" x14ac:dyDescent="0.3">
      <c r="A8" s="1" t="s">
        <v>11</v>
      </c>
      <c r="B8" s="15" t="s">
        <v>12</v>
      </c>
      <c r="C8" s="16"/>
      <c r="D8" s="16">
        <v>1422</v>
      </c>
      <c r="E8" s="16">
        <v>7473</v>
      </c>
      <c r="F8" s="16">
        <v>14404.5</v>
      </c>
      <c r="G8" s="16">
        <v>19399.5</v>
      </c>
      <c r="H8" s="16">
        <v>18732</v>
      </c>
      <c r="I8" s="16">
        <f>22230+15355.5</f>
        <v>37585.5</v>
      </c>
      <c r="J8" s="16">
        <v>45975</v>
      </c>
      <c r="K8" s="16"/>
      <c r="L8" s="16"/>
      <c r="M8" s="16"/>
      <c r="N8" s="16"/>
      <c r="O8" s="16"/>
      <c r="P8" s="16"/>
      <c r="Q8" s="17">
        <f t="shared" si="1"/>
        <v>144991.5</v>
      </c>
      <c r="R8" s="18"/>
      <c r="T8" s="22"/>
      <c r="U8" s="22"/>
      <c r="V8" s="23"/>
      <c r="W8" s="23"/>
    </row>
    <row r="9" spans="1:23" s="21" customFormat="1" ht="32.4" customHeight="1" x14ac:dyDescent="0.3">
      <c r="A9" s="1" t="s">
        <v>13</v>
      </c>
      <c r="B9" s="15" t="s">
        <v>14</v>
      </c>
      <c r="C9" s="16"/>
      <c r="D9" s="16">
        <v>2872.5</v>
      </c>
      <c r="E9" s="16">
        <v>7320.9</v>
      </c>
      <c r="F9" s="16">
        <v>10427.700000000001</v>
      </c>
      <c r="G9" s="16">
        <v>14442.6</v>
      </c>
      <c r="H9" s="16">
        <f>20793.32+1625+600</f>
        <v>23018.32</v>
      </c>
      <c r="I9" s="16">
        <f>640+1814.7+3930.96+26645.33</f>
        <v>33030.990000000005</v>
      </c>
      <c r="J9" s="16">
        <v>41685.910000000003</v>
      </c>
      <c r="K9" s="16"/>
      <c r="L9" s="16"/>
      <c r="M9" s="16"/>
      <c r="N9" s="16"/>
      <c r="O9" s="16"/>
      <c r="P9" s="16"/>
      <c r="Q9" s="17">
        <f t="shared" si="1"/>
        <v>132798.92000000001</v>
      </c>
      <c r="R9" s="18"/>
      <c r="S9" s="24"/>
      <c r="T9" s="22"/>
      <c r="U9" s="22"/>
      <c r="V9" s="23"/>
      <c r="W9" s="23"/>
    </row>
    <row r="10" spans="1:23" s="21" customFormat="1" ht="32.4" customHeight="1" x14ac:dyDescent="0.3">
      <c r="A10" s="1" t="s">
        <v>15</v>
      </c>
      <c r="B10" s="15" t="s">
        <v>16</v>
      </c>
      <c r="C10" s="16"/>
      <c r="D10" s="16"/>
      <c r="E10" s="16">
        <v>4721.3999999999996</v>
      </c>
      <c r="F10" s="16">
        <v>6642.4</v>
      </c>
      <c r="G10" s="16">
        <f>6561.6</f>
        <v>6561.6</v>
      </c>
      <c r="H10" s="16">
        <v>12231.2</v>
      </c>
      <c r="I10" s="16">
        <f>587.4+11646</f>
        <v>12233.4</v>
      </c>
      <c r="J10" s="16">
        <v>16006.68</v>
      </c>
      <c r="K10" s="16"/>
      <c r="L10" s="16"/>
      <c r="M10" s="16"/>
      <c r="N10" s="16"/>
      <c r="O10" s="16"/>
      <c r="P10" s="16"/>
      <c r="Q10" s="17">
        <f t="shared" si="1"/>
        <v>58396.68</v>
      </c>
      <c r="R10" s="18"/>
      <c r="S10" s="23"/>
      <c r="T10" s="23"/>
      <c r="U10" s="23"/>
      <c r="V10" s="23"/>
      <c r="W10" s="23"/>
    </row>
    <row r="11" spans="1:23" s="20" customFormat="1" ht="32.4" customHeight="1" x14ac:dyDescent="0.3">
      <c r="A11" s="1" t="s">
        <v>17</v>
      </c>
      <c r="B11" s="15" t="s">
        <v>18</v>
      </c>
      <c r="C11" s="16"/>
      <c r="D11" s="16">
        <v>129.5</v>
      </c>
      <c r="E11" s="16">
        <v>296</v>
      </c>
      <c r="F11" s="16">
        <v>481</v>
      </c>
      <c r="G11" s="16">
        <f>592+282</f>
        <v>874</v>
      </c>
      <c r="H11" s="16">
        <f>3829.5+282</f>
        <v>4111.5</v>
      </c>
      <c r="I11" s="16">
        <f>282+3755</f>
        <v>4037</v>
      </c>
      <c r="J11" s="16">
        <v>1521.5</v>
      </c>
      <c r="K11" s="16"/>
      <c r="L11" s="16"/>
      <c r="M11" s="16"/>
      <c r="N11" s="16"/>
      <c r="O11" s="16"/>
      <c r="P11" s="16"/>
      <c r="Q11" s="17">
        <f t="shared" si="1"/>
        <v>11450.5</v>
      </c>
      <c r="R11" s="18"/>
      <c r="S11" s="18"/>
      <c r="T11" s="18"/>
      <c r="U11" s="18"/>
      <c r="V11" s="18"/>
      <c r="W11" s="18"/>
    </row>
    <row r="12" spans="1:23" ht="32.4" customHeight="1" x14ac:dyDescent="0.3">
      <c r="A12" s="1" t="s">
        <v>19</v>
      </c>
      <c r="B12" s="15" t="s">
        <v>20</v>
      </c>
      <c r="C12" s="16"/>
      <c r="D12" s="16"/>
      <c r="E12" s="16">
        <f>433+433</f>
        <v>866</v>
      </c>
      <c r="F12" s="16">
        <v>211</v>
      </c>
      <c r="G12" s="16">
        <v>2075</v>
      </c>
      <c r="H12" s="16"/>
      <c r="I12" s="16"/>
      <c r="J12" s="16">
        <v>2115</v>
      </c>
      <c r="K12" s="16"/>
      <c r="L12" s="16"/>
      <c r="M12" s="16"/>
      <c r="N12" s="16"/>
      <c r="O12" s="16"/>
      <c r="P12" s="16"/>
      <c r="Q12" s="17">
        <f t="shared" si="1"/>
        <v>5267</v>
      </c>
      <c r="R12" s="18"/>
      <c r="S12" s="4"/>
      <c r="T12" s="4"/>
      <c r="U12" s="4"/>
      <c r="V12" s="4"/>
      <c r="W12" s="4"/>
    </row>
    <row r="13" spans="1:23" s="20" customFormat="1" ht="32.4" customHeight="1" x14ac:dyDescent="0.3">
      <c r="A13" s="1" t="s">
        <v>21</v>
      </c>
      <c r="B13" s="15" t="s">
        <v>22</v>
      </c>
      <c r="C13" s="16"/>
      <c r="D13" s="16">
        <v>27217.439999999999</v>
      </c>
      <c r="E13" s="16">
        <v>463.29</v>
      </c>
      <c r="F13" s="16">
        <v>12384</v>
      </c>
      <c r="G13" s="16"/>
      <c r="H13" s="16"/>
      <c r="I13" s="16">
        <v>3601.7</v>
      </c>
      <c r="J13" s="16">
        <v>22219.17</v>
      </c>
      <c r="K13" s="16"/>
      <c r="L13" s="16"/>
      <c r="M13" s="16"/>
      <c r="N13" s="16"/>
      <c r="O13" s="16"/>
      <c r="P13" s="16"/>
      <c r="Q13" s="17">
        <f t="shared" si="1"/>
        <v>65885.599999999991</v>
      </c>
      <c r="R13" s="18"/>
      <c r="S13" s="18"/>
      <c r="T13" s="18"/>
      <c r="U13" s="18"/>
      <c r="V13" s="18"/>
      <c r="W13" s="18"/>
    </row>
    <row r="14" spans="1:23" s="20" customFormat="1" ht="32.4" customHeight="1" x14ac:dyDescent="0.3">
      <c r="A14" s="1" t="s">
        <v>23</v>
      </c>
      <c r="B14" s="15" t="s">
        <v>24</v>
      </c>
      <c r="C14" s="16"/>
      <c r="D14" s="16">
        <v>3321.04</v>
      </c>
      <c r="E14" s="16">
        <f>16992.52-2378.66</f>
        <v>14613.86</v>
      </c>
      <c r="F14" s="16">
        <v>8071.5</v>
      </c>
      <c r="G14" s="16">
        <v>12479.04</v>
      </c>
      <c r="H14" s="16">
        <v>8878.8700000000008</v>
      </c>
      <c r="I14" s="16">
        <v>7093.21</v>
      </c>
      <c r="J14" s="16">
        <v>16012.09</v>
      </c>
      <c r="K14" s="16"/>
      <c r="L14" s="16"/>
      <c r="M14" s="16"/>
      <c r="N14" s="16"/>
      <c r="O14" s="16"/>
      <c r="P14" s="16"/>
      <c r="Q14" s="17">
        <f t="shared" si="1"/>
        <v>70469.61</v>
      </c>
      <c r="R14" s="18"/>
      <c r="S14" s="18"/>
      <c r="T14" s="18"/>
      <c r="U14" s="18"/>
      <c r="V14" s="18"/>
      <c r="W14" s="18"/>
    </row>
    <row r="15" spans="1:23" s="20" customFormat="1" ht="32.4" customHeight="1" x14ac:dyDescent="0.3">
      <c r="A15" s="1" t="s">
        <v>25</v>
      </c>
      <c r="B15" s="15" t="s">
        <v>26</v>
      </c>
      <c r="C15" s="16"/>
      <c r="D15" s="16">
        <v>2000</v>
      </c>
      <c r="E15" s="16">
        <v>4197.78</v>
      </c>
      <c r="F15" s="16">
        <v>1977.78</v>
      </c>
      <c r="G15" s="16">
        <v>4377.78</v>
      </c>
      <c r="H15" s="16">
        <v>3337.33</v>
      </c>
      <c r="I15" s="16">
        <v>3634.83</v>
      </c>
      <c r="J15" s="16">
        <v>3643.95</v>
      </c>
      <c r="K15" s="16"/>
      <c r="L15" s="16"/>
      <c r="M15" s="16"/>
      <c r="N15" s="16"/>
      <c r="O15" s="16"/>
      <c r="P15" s="16"/>
      <c r="Q15" s="17">
        <f t="shared" si="1"/>
        <v>23169.45</v>
      </c>
      <c r="R15" s="18"/>
      <c r="S15" s="18"/>
      <c r="T15" s="18"/>
      <c r="U15" s="18"/>
      <c r="V15" s="18"/>
      <c r="W15" s="18"/>
    </row>
    <row r="16" spans="1:23" s="20" customFormat="1" ht="32.4" customHeight="1" x14ac:dyDescent="0.3">
      <c r="A16" s="1" t="s">
        <v>27</v>
      </c>
      <c r="B16" s="15" t="s">
        <v>28</v>
      </c>
      <c r="C16" s="16"/>
      <c r="D16" s="16">
        <v>136</v>
      </c>
      <c r="E16" s="16">
        <v>669.97</v>
      </c>
      <c r="F16" s="16">
        <v>1019.08</v>
      </c>
      <c r="G16" s="16">
        <v>1477.6</v>
      </c>
      <c r="H16" s="16">
        <v>2003.4</v>
      </c>
      <c r="I16" s="16">
        <v>2295.37</v>
      </c>
      <c r="J16" s="25" t="s">
        <v>29</v>
      </c>
      <c r="K16" s="16"/>
      <c r="L16" s="16"/>
      <c r="M16" s="16"/>
      <c r="N16" s="16"/>
      <c r="O16" s="16"/>
      <c r="P16" s="16"/>
      <c r="Q16" s="17">
        <f t="shared" si="1"/>
        <v>7601.42</v>
      </c>
      <c r="R16" s="18"/>
      <c r="S16" s="18"/>
      <c r="T16" s="18"/>
      <c r="U16" s="18"/>
      <c r="V16" s="18"/>
      <c r="W16" s="18"/>
    </row>
    <row r="17" spans="1:23" s="20" customFormat="1" ht="32.4" customHeight="1" x14ac:dyDescent="0.3">
      <c r="A17" s="1" t="s">
        <v>30</v>
      </c>
      <c r="B17" s="15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7">
        <f>SUM(C17:P17)</f>
        <v>0</v>
      </c>
      <c r="R17" s="18"/>
      <c r="S17" s="18"/>
      <c r="T17" s="18"/>
      <c r="U17" s="18"/>
      <c r="V17" s="18"/>
      <c r="W17" s="18"/>
    </row>
    <row r="18" spans="1:23" s="27" customFormat="1" ht="32.4" customHeight="1" x14ac:dyDescent="0.3">
      <c r="A18" s="1" t="s">
        <v>31</v>
      </c>
      <c r="B18" s="15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7">
        <f t="shared" ref="Q18" si="3">SUM(C18:P18)</f>
        <v>0</v>
      </c>
      <c r="R18" s="18"/>
      <c r="S18" s="26"/>
      <c r="T18" s="26"/>
      <c r="U18" s="26"/>
      <c r="V18" s="26"/>
      <c r="W18" s="26"/>
    </row>
    <row r="19" spans="1:23" s="27" customFormat="1" ht="39" customHeight="1" x14ac:dyDescent="0.3">
      <c r="A19" s="1" t="s">
        <v>32</v>
      </c>
      <c r="B19" s="12" t="s">
        <v>33</v>
      </c>
      <c r="C19" s="13">
        <f>SUM(C20:C22)</f>
        <v>0</v>
      </c>
      <c r="D19" s="13">
        <f t="shared" ref="D19:Q19" si="4">SUM(D20:D22)</f>
        <v>0</v>
      </c>
      <c r="E19" s="13">
        <f t="shared" si="4"/>
        <v>12200.5</v>
      </c>
      <c r="F19" s="13">
        <f t="shared" si="4"/>
        <v>12200.5</v>
      </c>
      <c r="G19" s="13">
        <f t="shared" si="4"/>
        <v>12200.5</v>
      </c>
      <c r="H19" s="13">
        <f t="shared" si="4"/>
        <v>12200.5</v>
      </c>
      <c r="I19" s="13">
        <f t="shared" si="4"/>
        <v>12200.5</v>
      </c>
      <c r="J19" s="13">
        <f t="shared" si="4"/>
        <v>403501</v>
      </c>
      <c r="K19" s="13">
        <f t="shared" si="4"/>
        <v>0</v>
      </c>
      <c r="L19" s="13">
        <f t="shared" si="4"/>
        <v>0</v>
      </c>
      <c r="M19" s="13">
        <f t="shared" si="4"/>
        <v>0</v>
      </c>
      <c r="N19" s="13">
        <f t="shared" si="4"/>
        <v>0</v>
      </c>
      <c r="O19" s="13">
        <f t="shared" si="4"/>
        <v>0</v>
      </c>
      <c r="P19" s="13">
        <f t="shared" si="4"/>
        <v>0</v>
      </c>
      <c r="Q19" s="13">
        <f t="shared" si="4"/>
        <v>464503.5</v>
      </c>
      <c r="R19" s="18"/>
      <c r="S19" s="26"/>
      <c r="T19" s="26"/>
      <c r="U19" s="26"/>
      <c r="V19" s="26"/>
      <c r="W19" s="26"/>
    </row>
    <row r="20" spans="1:23" s="29" customFormat="1" ht="32.4" customHeight="1" outlineLevel="1" x14ac:dyDescent="0.3">
      <c r="A20" s="1" t="s">
        <v>34</v>
      </c>
      <c r="B20" s="15" t="s">
        <v>35</v>
      </c>
      <c r="C20" s="16"/>
      <c r="D20" s="16"/>
      <c r="E20" s="16"/>
      <c r="F20" s="16"/>
      <c r="G20" s="16"/>
      <c r="H20" s="16">
        <v>0</v>
      </c>
      <c r="I20" s="16"/>
      <c r="J20" s="16"/>
      <c r="K20" s="16"/>
      <c r="L20" s="16"/>
      <c r="M20" s="16"/>
      <c r="N20" s="16"/>
      <c r="O20" s="16"/>
      <c r="P20" s="16"/>
      <c r="Q20" s="17">
        <f>SUM(C20:P20)</f>
        <v>0</v>
      </c>
      <c r="R20" s="18"/>
      <c r="S20" s="28"/>
      <c r="T20" s="28"/>
      <c r="U20" s="28"/>
      <c r="V20" s="28"/>
      <c r="W20" s="28"/>
    </row>
    <row r="21" spans="1:23" s="29" customFormat="1" ht="32.4" customHeight="1" outlineLevel="1" x14ac:dyDescent="0.3">
      <c r="A21" s="1" t="s">
        <v>36</v>
      </c>
      <c r="B21" s="30" t="s">
        <v>37</v>
      </c>
      <c r="C21" s="16"/>
      <c r="D21" s="16"/>
      <c r="E21" s="16">
        <v>12200.5</v>
      </c>
      <c r="F21" s="16">
        <v>12200.5</v>
      </c>
      <c r="G21" s="16">
        <v>12200.5</v>
      </c>
      <c r="H21" s="16">
        <v>12200.5</v>
      </c>
      <c r="I21" s="16">
        <v>12200.5</v>
      </c>
      <c r="J21" s="16">
        <v>49517.5</v>
      </c>
      <c r="K21" s="16"/>
      <c r="L21" s="16"/>
      <c r="M21" s="16"/>
      <c r="N21" s="16"/>
      <c r="O21" s="16"/>
      <c r="P21" s="16"/>
      <c r="Q21" s="17">
        <f t="shared" ref="Q21:Q23" si="5">SUM(C21:P21)</f>
        <v>110520</v>
      </c>
      <c r="R21" s="18"/>
      <c r="S21" s="28"/>
      <c r="T21" s="28"/>
      <c r="U21" s="28"/>
      <c r="V21" s="28"/>
      <c r="W21" s="28"/>
    </row>
    <row r="22" spans="1:23" s="29" customFormat="1" ht="32.4" customHeight="1" outlineLevel="1" x14ac:dyDescent="0.3">
      <c r="A22" s="1" t="s">
        <v>38</v>
      </c>
      <c r="B22" s="30" t="s">
        <v>39</v>
      </c>
      <c r="C22" s="16"/>
      <c r="D22" s="16"/>
      <c r="E22" s="16"/>
      <c r="F22" s="16"/>
      <c r="G22" s="16"/>
      <c r="H22" s="16"/>
      <c r="I22" s="16"/>
      <c r="J22" s="16">
        <v>353983.5</v>
      </c>
      <c r="K22" s="16"/>
      <c r="L22" s="16"/>
      <c r="M22" s="16"/>
      <c r="N22" s="16"/>
      <c r="O22" s="16"/>
      <c r="P22" s="16"/>
      <c r="Q22" s="17">
        <f t="shared" si="5"/>
        <v>353983.5</v>
      </c>
      <c r="R22" s="18"/>
      <c r="S22" s="31"/>
      <c r="T22" s="28"/>
      <c r="U22" s="28"/>
      <c r="V22" s="28"/>
      <c r="W22" s="28"/>
    </row>
    <row r="23" spans="1:23" s="29" customFormat="1" ht="32.4" customHeight="1" outlineLevel="1" x14ac:dyDescent="0.3">
      <c r="A23" s="1" t="s">
        <v>40</v>
      </c>
      <c r="B23" s="30" t="s">
        <v>41</v>
      </c>
      <c r="C23" s="16"/>
      <c r="D23" s="16"/>
      <c r="E23" s="16"/>
      <c r="F23" s="16"/>
      <c r="G23" s="16"/>
      <c r="H23" s="16"/>
      <c r="I23" s="16"/>
      <c r="J23" s="32">
        <v>10640.28</v>
      </c>
      <c r="K23" s="16"/>
      <c r="L23" s="16"/>
      <c r="M23" s="16"/>
      <c r="N23" s="16"/>
      <c r="O23" s="16"/>
      <c r="P23" s="16"/>
      <c r="Q23" s="17">
        <f t="shared" si="5"/>
        <v>10640.28</v>
      </c>
      <c r="R23" s="18"/>
      <c r="S23" s="31" t="s">
        <v>42</v>
      </c>
      <c r="T23" s="28"/>
      <c r="U23" s="28"/>
      <c r="V23" s="28"/>
      <c r="W23" s="28"/>
    </row>
    <row r="24" spans="1:23" s="27" customFormat="1" ht="32.4" customHeight="1" x14ac:dyDescent="0.3">
      <c r="A24" s="1" t="s">
        <v>43</v>
      </c>
      <c r="B24" s="12" t="s">
        <v>44</v>
      </c>
      <c r="C24" s="17">
        <f>SUM(C25:C33)</f>
        <v>0</v>
      </c>
      <c r="D24" s="17">
        <f t="shared" ref="D24:Q24" si="6">SUM(D25:D33)</f>
        <v>32824.160000000003</v>
      </c>
      <c r="E24" s="17">
        <f t="shared" si="6"/>
        <v>211998.3</v>
      </c>
      <c r="F24" s="17">
        <f t="shared" si="6"/>
        <v>332003.07000000007</v>
      </c>
      <c r="G24" s="17">
        <f t="shared" si="6"/>
        <v>967444.15000000014</v>
      </c>
      <c r="H24" s="17">
        <f t="shared" si="6"/>
        <v>954222.6</v>
      </c>
      <c r="I24" s="17">
        <f t="shared" si="6"/>
        <v>1416579.98</v>
      </c>
      <c r="J24" s="17">
        <f t="shared" si="6"/>
        <v>1084517.8900000001</v>
      </c>
      <c r="K24" s="17">
        <f t="shared" si="6"/>
        <v>0</v>
      </c>
      <c r="L24" s="17">
        <f t="shared" si="6"/>
        <v>0</v>
      </c>
      <c r="M24" s="17">
        <f t="shared" si="6"/>
        <v>0</v>
      </c>
      <c r="N24" s="17">
        <f t="shared" si="6"/>
        <v>0</v>
      </c>
      <c r="O24" s="17">
        <f t="shared" si="6"/>
        <v>0</v>
      </c>
      <c r="P24" s="17">
        <f t="shared" si="6"/>
        <v>0</v>
      </c>
      <c r="Q24" s="17">
        <f t="shared" si="6"/>
        <v>4999590.1500000004</v>
      </c>
      <c r="R24" s="18"/>
      <c r="S24" s="26"/>
      <c r="T24" s="26"/>
      <c r="U24" s="26"/>
      <c r="V24" s="26"/>
      <c r="W24" s="26"/>
    </row>
    <row r="25" spans="1:23" s="29" customFormat="1" ht="32.4" customHeight="1" outlineLevel="1" x14ac:dyDescent="0.3">
      <c r="A25" s="1" t="s">
        <v>45</v>
      </c>
      <c r="B25" s="15" t="s">
        <v>46</v>
      </c>
      <c r="C25" s="16"/>
      <c r="D25" s="16">
        <v>1800</v>
      </c>
      <c r="E25" s="16">
        <v>11397.38</v>
      </c>
      <c r="F25" s="16">
        <v>10335.6</v>
      </c>
      <c r="G25" s="16">
        <v>141902.04999999999</v>
      </c>
      <c r="H25" s="16">
        <v>62730.26</v>
      </c>
      <c r="I25" s="16">
        <v>284346.45</v>
      </c>
      <c r="J25" s="16">
        <v>361834.47</v>
      </c>
      <c r="K25" s="16"/>
      <c r="L25" s="16"/>
      <c r="M25" s="16"/>
      <c r="N25" s="16"/>
      <c r="O25" s="16"/>
      <c r="P25" s="16"/>
      <c r="Q25" s="17">
        <f>SUM(C25:P25)</f>
        <v>874346.21</v>
      </c>
      <c r="R25" s="18"/>
      <c r="S25" s="28"/>
      <c r="T25" s="28"/>
      <c r="U25" s="28"/>
      <c r="V25" s="28"/>
      <c r="W25" s="28"/>
    </row>
    <row r="26" spans="1:23" s="29" customFormat="1" ht="32.4" customHeight="1" outlineLevel="1" x14ac:dyDescent="0.3">
      <c r="A26" s="1" t="s">
        <v>47</v>
      </c>
      <c r="B26" s="15" t="s">
        <v>48</v>
      </c>
      <c r="C26" s="16"/>
      <c r="D26" s="16"/>
      <c r="E26" s="16">
        <v>151510.85999999999</v>
      </c>
      <c r="F26" s="16">
        <f>216820.76+19716.08+28337.08</f>
        <v>264873.92000000004</v>
      </c>
      <c r="G26" s="16">
        <v>677044.06</v>
      </c>
      <c r="H26" s="16">
        <v>789090.48</v>
      </c>
      <c r="I26" s="16">
        <f>773011.72+212270.92</f>
        <v>985282.64</v>
      </c>
      <c r="J26" s="16">
        <v>639316.9</v>
      </c>
      <c r="K26" s="16"/>
      <c r="L26" s="16"/>
      <c r="M26" s="16"/>
      <c r="N26" s="16"/>
      <c r="O26" s="16"/>
      <c r="P26" s="16"/>
      <c r="Q26" s="17">
        <f t="shared" ref="Q26:Q33" si="7">SUM(C26:P26)</f>
        <v>3507118.86</v>
      </c>
      <c r="R26" s="18"/>
      <c r="S26" s="28"/>
      <c r="T26" s="28"/>
      <c r="U26" s="28"/>
      <c r="V26" s="28"/>
      <c r="W26" s="28"/>
    </row>
    <row r="27" spans="1:23" s="27" customFormat="1" ht="32.4" customHeight="1" x14ac:dyDescent="0.3">
      <c r="A27" s="1" t="s">
        <v>49</v>
      </c>
      <c r="B27" s="15" t="s">
        <v>50</v>
      </c>
      <c r="C27" s="16"/>
      <c r="D27" s="16">
        <v>7736.06</v>
      </c>
      <c r="E27" s="16">
        <v>386.4</v>
      </c>
      <c r="F27" s="16"/>
      <c r="G27" s="16">
        <v>7500</v>
      </c>
      <c r="H27" s="16">
        <v>3633.88</v>
      </c>
      <c r="I27" s="16"/>
      <c r="J27" s="16">
        <v>12000</v>
      </c>
      <c r="K27" s="16"/>
      <c r="L27" s="16"/>
      <c r="M27" s="16"/>
      <c r="N27" s="16"/>
      <c r="O27" s="16"/>
      <c r="P27" s="16"/>
      <c r="Q27" s="17">
        <f t="shared" si="7"/>
        <v>31256.34</v>
      </c>
      <c r="R27" s="18"/>
      <c r="S27" s="26"/>
      <c r="T27" s="26"/>
      <c r="U27" s="26"/>
      <c r="V27" s="26"/>
      <c r="W27" s="26"/>
    </row>
    <row r="28" spans="1:23" s="27" customFormat="1" ht="32.4" customHeight="1" x14ac:dyDescent="0.3">
      <c r="A28" s="1" t="s">
        <v>51</v>
      </c>
      <c r="B28" s="15" t="s">
        <v>52</v>
      </c>
      <c r="C28" s="16"/>
      <c r="D28" s="16">
        <v>3960</v>
      </c>
      <c r="E28" s="16">
        <v>2500</v>
      </c>
      <c r="F28" s="16"/>
      <c r="G28" s="16"/>
      <c r="H28" s="16">
        <v>7711.2</v>
      </c>
      <c r="I28" s="16"/>
      <c r="J28" s="16"/>
      <c r="K28" s="16"/>
      <c r="L28" s="16"/>
      <c r="M28" s="16"/>
      <c r="N28" s="16"/>
      <c r="O28" s="16"/>
      <c r="P28" s="16"/>
      <c r="Q28" s="17">
        <f t="shared" si="7"/>
        <v>14171.2</v>
      </c>
      <c r="R28" s="18"/>
      <c r="S28" s="26"/>
      <c r="T28" s="26"/>
      <c r="U28" s="26"/>
      <c r="V28" s="26"/>
      <c r="W28" s="26"/>
    </row>
    <row r="29" spans="1:23" s="29" customFormat="1" ht="32.4" customHeight="1" outlineLevel="1" x14ac:dyDescent="0.3">
      <c r="A29" s="1" t="s">
        <v>53</v>
      </c>
      <c r="B29" s="15" t="s">
        <v>54</v>
      </c>
      <c r="C29" s="16"/>
      <c r="D29" s="16"/>
      <c r="E29" s="16"/>
      <c r="F29" s="16">
        <v>8637.9</v>
      </c>
      <c r="G29" s="16">
        <v>78896.75</v>
      </c>
      <c r="H29" s="16">
        <v>1617.9</v>
      </c>
      <c r="I29" s="16">
        <v>10887</v>
      </c>
      <c r="J29" s="16">
        <v>18625.02</v>
      </c>
      <c r="K29" s="16"/>
      <c r="L29" s="16"/>
      <c r="M29" s="16"/>
      <c r="N29" s="16"/>
      <c r="O29" s="16"/>
      <c r="P29" s="16"/>
      <c r="Q29" s="17">
        <f t="shared" si="7"/>
        <v>118664.56999999999</v>
      </c>
      <c r="R29" s="18"/>
      <c r="S29" s="28"/>
      <c r="T29" s="28"/>
      <c r="U29" s="28"/>
      <c r="V29" s="28"/>
      <c r="W29" s="28"/>
    </row>
    <row r="30" spans="1:23" s="29" customFormat="1" ht="32.4" customHeight="1" outlineLevel="1" x14ac:dyDescent="0.3">
      <c r="A30" s="1" t="s">
        <v>55</v>
      </c>
      <c r="B30" s="33" t="s">
        <v>56</v>
      </c>
      <c r="C30" s="16"/>
      <c r="D30" s="16"/>
      <c r="E30" s="16"/>
      <c r="F30" s="16">
        <v>2448</v>
      </c>
      <c r="G30" s="16">
        <v>44736</v>
      </c>
      <c r="H30" s="16">
        <v>62624</v>
      </c>
      <c r="I30" s="16">
        <v>25008</v>
      </c>
      <c r="J30" s="16">
        <v>14992</v>
      </c>
      <c r="K30" s="16"/>
      <c r="L30" s="16"/>
      <c r="M30" s="16"/>
      <c r="N30" s="16"/>
      <c r="O30" s="16"/>
      <c r="P30" s="16"/>
      <c r="Q30" s="17">
        <f t="shared" si="7"/>
        <v>149808</v>
      </c>
      <c r="R30" s="18"/>
      <c r="S30" s="28"/>
      <c r="T30" s="28"/>
      <c r="U30" s="28"/>
      <c r="V30" s="28"/>
      <c r="W30" s="28"/>
    </row>
    <row r="31" spans="1:23" s="20" customFormat="1" ht="24.75" customHeight="1" x14ac:dyDescent="0.3">
      <c r="A31" s="1" t="s">
        <v>57</v>
      </c>
      <c r="B31" s="15" t="s">
        <v>58</v>
      </c>
      <c r="C31" s="16"/>
      <c r="D31" s="16"/>
      <c r="E31" s="16">
        <v>5692.2</v>
      </c>
      <c r="F31" s="16">
        <v>8322.7999999999993</v>
      </c>
      <c r="G31" s="16">
        <v>8248.24</v>
      </c>
      <c r="H31" s="16">
        <v>25249.279999999999</v>
      </c>
      <c r="I31" s="16">
        <v>16496.48</v>
      </c>
      <c r="J31" s="16">
        <v>31884.16</v>
      </c>
      <c r="K31" s="16"/>
      <c r="L31" s="16"/>
      <c r="M31" s="16"/>
      <c r="N31" s="16"/>
      <c r="O31" s="16"/>
      <c r="P31" s="16"/>
      <c r="Q31" s="17">
        <f t="shared" si="7"/>
        <v>95893.16</v>
      </c>
      <c r="R31" s="18"/>
      <c r="S31" s="18"/>
      <c r="T31" s="18"/>
      <c r="U31" s="18"/>
      <c r="V31" s="18"/>
      <c r="W31" s="18"/>
    </row>
    <row r="32" spans="1:23" s="29" customFormat="1" ht="32.4" customHeight="1" outlineLevel="1" x14ac:dyDescent="0.3">
      <c r="A32" s="1" t="s">
        <v>59</v>
      </c>
      <c r="B32" s="15" t="s">
        <v>60</v>
      </c>
      <c r="C32" s="16"/>
      <c r="D32" s="16">
        <v>19328.099999999999</v>
      </c>
      <c r="E32" s="16">
        <v>35305.46</v>
      </c>
      <c r="F32" s="16">
        <v>28310.449999999997</v>
      </c>
      <c r="G32" s="16">
        <v>4919.16</v>
      </c>
      <c r="H32" s="16">
        <v>1565.6</v>
      </c>
      <c r="I32" s="16">
        <v>94322.65</v>
      </c>
      <c r="J32" s="16">
        <v>5865.34</v>
      </c>
      <c r="K32" s="16"/>
      <c r="L32" s="16"/>
      <c r="M32" s="16"/>
      <c r="N32" s="16"/>
      <c r="O32" s="16"/>
      <c r="P32" s="16"/>
      <c r="Q32" s="17">
        <f t="shared" si="7"/>
        <v>189616.75999999998</v>
      </c>
      <c r="R32" s="18"/>
      <c r="S32" s="28"/>
      <c r="T32" s="28"/>
      <c r="U32" s="28"/>
      <c r="V32" s="28"/>
      <c r="W32" s="28"/>
    </row>
    <row r="33" spans="1:23" s="29" customFormat="1" ht="32.4" customHeight="1" outlineLevel="1" x14ac:dyDescent="0.3">
      <c r="A33" s="1" t="s">
        <v>61</v>
      </c>
      <c r="B33" s="15" t="s">
        <v>62</v>
      </c>
      <c r="C33" s="16"/>
      <c r="D33" s="16"/>
      <c r="E33" s="16">
        <v>5206</v>
      </c>
      <c r="F33" s="16">
        <v>9074.4</v>
      </c>
      <c r="G33" s="16">
        <v>4197.8900000000003</v>
      </c>
      <c r="H33" s="16">
        <v>0</v>
      </c>
      <c r="I33" s="16">
        <v>236.76</v>
      </c>
      <c r="J33" s="16"/>
      <c r="K33" s="16"/>
      <c r="L33" s="16"/>
      <c r="M33" s="16"/>
      <c r="N33" s="16"/>
      <c r="O33" s="16"/>
      <c r="P33" s="16"/>
      <c r="Q33" s="17">
        <f t="shared" si="7"/>
        <v>18715.05</v>
      </c>
      <c r="R33" s="18"/>
      <c r="S33" s="28"/>
      <c r="T33" s="28"/>
      <c r="U33" s="28"/>
      <c r="V33" s="28"/>
      <c r="W33" s="28"/>
    </row>
    <row r="34" spans="1:23" s="29" customFormat="1" ht="32.4" customHeight="1" outlineLevel="1" x14ac:dyDescent="0.3">
      <c r="A34" s="1" t="s">
        <v>63</v>
      </c>
      <c r="B34" s="12" t="s">
        <v>64</v>
      </c>
      <c r="C34" s="13">
        <f>SUM(C35:C55)</f>
        <v>3287.42</v>
      </c>
      <c r="D34" s="13">
        <f t="shared" ref="D34:P34" si="8">SUM(D35:D55)</f>
        <v>9202.0499999999993</v>
      </c>
      <c r="E34" s="13">
        <f t="shared" si="8"/>
        <v>37784.959999999999</v>
      </c>
      <c r="F34" s="13">
        <f t="shared" si="8"/>
        <v>52450.280000000006</v>
      </c>
      <c r="G34" s="13">
        <f t="shared" si="8"/>
        <v>137835.16</v>
      </c>
      <c r="H34" s="13">
        <f t="shared" si="8"/>
        <v>185972.61</v>
      </c>
      <c r="I34" s="13">
        <f t="shared" si="8"/>
        <v>207482.72999999998</v>
      </c>
      <c r="J34" s="13">
        <f t="shared" si="8"/>
        <v>268176.78000000003</v>
      </c>
      <c r="K34" s="13">
        <f t="shared" si="8"/>
        <v>0</v>
      </c>
      <c r="L34" s="13">
        <f t="shared" si="8"/>
        <v>0</v>
      </c>
      <c r="M34" s="13">
        <f t="shared" si="8"/>
        <v>0</v>
      </c>
      <c r="N34" s="13">
        <f t="shared" si="8"/>
        <v>0</v>
      </c>
      <c r="O34" s="13">
        <f t="shared" si="8"/>
        <v>0</v>
      </c>
      <c r="P34" s="13">
        <f t="shared" si="8"/>
        <v>0</v>
      </c>
      <c r="Q34" s="13">
        <f>SUM(Q35:Q55)</f>
        <v>902191.99</v>
      </c>
      <c r="R34" s="18"/>
      <c r="S34" s="34"/>
      <c r="T34" s="35"/>
      <c r="U34" s="28"/>
      <c r="V34" s="35"/>
      <c r="W34" s="28"/>
    </row>
    <row r="35" spans="1:23" s="29" customFormat="1" ht="32.4" customHeight="1" outlineLevel="1" x14ac:dyDescent="0.3">
      <c r="A35" s="1" t="s">
        <v>65</v>
      </c>
      <c r="B35" s="15" t="s">
        <v>66</v>
      </c>
      <c r="C35" s="16"/>
      <c r="D35" s="16"/>
      <c r="E35" s="16">
        <v>5054.5600000000004</v>
      </c>
      <c r="F35" s="16">
        <v>13175</v>
      </c>
      <c r="G35" s="16">
        <v>13175</v>
      </c>
      <c r="H35" s="16">
        <v>14572.59</v>
      </c>
      <c r="I35" s="16">
        <v>15627.69</v>
      </c>
      <c r="J35" s="16">
        <v>16459.150000000001</v>
      </c>
      <c r="K35" s="16"/>
      <c r="L35" s="16"/>
      <c r="M35" s="16"/>
      <c r="N35" s="16"/>
      <c r="O35" s="16"/>
      <c r="P35" s="16"/>
      <c r="Q35" s="36">
        <f t="shared" ref="Q35:Q39" si="9">SUM(C35:P35)</f>
        <v>78063.990000000005</v>
      </c>
      <c r="R35" s="18"/>
      <c r="S35" s="28"/>
      <c r="T35" s="28"/>
      <c r="U35" s="28"/>
      <c r="V35" s="28"/>
      <c r="W35" s="28"/>
    </row>
    <row r="36" spans="1:23" s="29" customFormat="1" ht="32.4" customHeight="1" outlineLevel="1" x14ac:dyDescent="0.3">
      <c r="A36" s="1" t="s">
        <v>67</v>
      </c>
      <c r="B36" s="15" t="s">
        <v>68</v>
      </c>
      <c r="C36" s="16"/>
      <c r="D36" s="16"/>
      <c r="E36" s="16">
        <v>7342.61</v>
      </c>
      <c r="F36" s="16">
        <v>13600</v>
      </c>
      <c r="G36" s="16">
        <v>13600</v>
      </c>
      <c r="H36" s="16">
        <v>14478.85</v>
      </c>
      <c r="I36" s="16">
        <v>18534.62</v>
      </c>
      <c r="J36" s="16">
        <v>16000</v>
      </c>
      <c r="K36" s="16"/>
      <c r="L36" s="16"/>
      <c r="M36" s="16"/>
      <c r="N36" s="16"/>
      <c r="O36" s="16"/>
      <c r="P36" s="16"/>
      <c r="Q36" s="36">
        <f t="shared" si="9"/>
        <v>83556.08</v>
      </c>
      <c r="R36" s="18"/>
      <c r="S36" s="28"/>
      <c r="T36" s="28"/>
      <c r="U36" s="28"/>
      <c r="V36" s="28"/>
      <c r="W36" s="28"/>
    </row>
    <row r="37" spans="1:23" s="29" customFormat="1" ht="32.4" customHeight="1" outlineLevel="1" x14ac:dyDescent="0.3">
      <c r="A37" s="1" t="s">
        <v>69</v>
      </c>
      <c r="B37" s="15" t="s">
        <v>70</v>
      </c>
      <c r="C37" s="16"/>
      <c r="D37" s="16"/>
      <c r="E37" s="16"/>
      <c r="F37" s="16">
        <v>5209.54</v>
      </c>
      <c r="G37" s="16">
        <v>13600</v>
      </c>
      <c r="H37" s="16">
        <v>14832</v>
      </c>
      <c r="I37" s="16">
        <v>16000</v>
      </c>
      <c r="J37" s="16">
        <v>15287.13</v>
      </c>
      <c r="K37" s="16"/>
      <c r="L37" s="16"/>
      <c r="M37" s="16"/>
      <c r="N37" s="16"/>
      <c r="O37" s="16"/>
      <c r="P37" s="16"/>
      <c r="Q37" s="36">
        <f t="shared" si="9"/>
        <v>64928.67</v>
      </c>
      <c r="R37" s="18"/>
      <c r="S37" s="28"/>
      <c r="T37" s="28"/>
      <c r="U37" s="28"/>
      <c r="V37" s="28"/>
      <c r="W37" s="28"/>
    </row>
    <row r="38" spans="1:23" s="29" customFormat="1" ht="32.4" customHeight="1" outlineLevel="1" x14ac:dyDescent="0.3">
      <c r="A38" s="1" t="s">
        <v>71</v>
      </c>
      <c r="B38" s="15" t="s">
        <v>72</v>
      </c>
      <c r="C38" s="16"/>
      <c r="D38" s="16"/>
      <c r="E38" s="16"/>
      <c r="F38" s="16">
        <v>2391.75</v>
      </c>
      <c r="G38" s="16">
        <v>14394.86</v>
      </c>
      <c r="H38" s="16">
        <v>15736</v>
      </c>
      <c r="I38" s="16">
        <v>15736</v>
      </c>
      <c r="J38" s="16">
        <v>16087.13</v>
      </c>
      <c r="K38" s="16"/>
      <c r="L38" s="16"/>
      <c r="M38" s="16"/>
      <c r="N38" s="16"/>
      <c r="O38" s="16"/>
      <c r="P38" s="16"/>
      <c r="Q38" s="36">
        <f t="shared" si="9"/>
        <v>64345.74</v>
      </c>
      <c r="R38" s="18"/>
      <c r="S38" s="28"/>
      <c r="T38" s="28"/>
      <c r="U38" s="28"/>
      <c r="V38" s="28"/>
      <c r="W38" s="28"/>
    </row>
    <row r="39" spans="1:23" s="29" customFormat="1" ht="32.4" customHeight="1" outlineLevel="1" x14ac:dyDescent="0.3">
      <c r="A39" s="1" t="s">
        <v>73</v>
      </c>
      <c r="B39" s="15" t="s">
        <v>74</v>
      </c>
      <c r="C39" s="16"/>
      <c r="D39" s="16"/>
      <c r="E39" s="16"/>
      <c r="F39" s="16"/>
      <c r="G39" s="16">
        <v>19418.53</v>
      </c>
      <c r="H39" s="16">
        <v>28377.14</v>
      </c>
      <c r="I39" s="16">
        <v>24308.09</v>
      </c>
      <c r="J39" s="16">
        <v>24381.19</v>
      </c>
      <c r="K39" s="16"/>
      <c r="L39" s="16"/>
      <c r="M39" s="16"/>
      <c r="N39" s="16"/>
      <c r="O39" s="16"/>
      <c r="P39" s="16"/>
      <c r="Q39" s="36">
        <f t="shared" si="9"/>
        <v>96484.95</v>
      </c>
      <c r="R39" s="18"/>
      <c r="S39" s="28"/>
      <c r="T39" s="28"/>
      <c r="U39" s="28"/>
      <c r="V39" s="28"/>
      <c r="W39" s="28"/>
    </row>
    <row r="40" spans="1:23" ht="32.4" customHeight="1" x14ac:dyDescent="0.3">
      <c r="A40" s="1" t="s">
        <v>75</v>
      </c>
      <c r="B40" s="15" t="s">
        <v>76</v>
      </c>
      <c r="C40" s="16"/>
      <c r="D40" s="16"/>
      <c r="E40" s="16"/>
      <c r="F40" s="16">
        <v>1800</v>
      </c>
      <c r="G40" s="16">
        <v>21750</v>
      </c>
      <c r="H40" s="16">
        <f>2300+13200+18303.57</f>
        <v>33803.57</v>
      </c>
      <c r="I40" s="16">
        <v>5700</v>
      </c>
      <c r="J40" s="16">
        <v>7088</v>
      </c>
      <c r="K40" s="16"/>
      <c r="L40" s="16"/>
      <c r="M40" s="16"/>
      <c r="N40" s="16"/>
      <c r="O40" s="16"/>
      <c r="P40" s="16"/>
      <c r="Q40" s="36">
        <f>SUM(C40:P40)</f>
        <v>70141.570000000007</v>
      </c>
      <c r="R40" s="18"/>
      <c r="S40" s="4"/>
      <c r="T40" s="4"/>
      <c r="U40" s="4"/>
      <c r="V40" s="4"/>
      <c r="W40" s="4"/>
    </row>
    <row r="41" spans="1:23" ht="32.4" customHeight="1" x14ac:dyDescent="0.3">
      <c r="A41" s="1" t="s">
        <v>77</v>
      </c>
      <c r="B41" s="15" t="s">
        <v>78</v>
      </c>
      <c r="C41" s="16"/>
      <c r="D41" s="16"/>
      <c r="E41" s="10">
        <v>1371.44</v>
      </c>
      <c r="F41" s="10">
        <v>1371.44</v>
      </c>
      <c r="G41" s="10">
        <v>2742.88</v>
      </c>
      <c r="H41" s="10">
        <v>4114.32</v>
      </c>
      <c r="I41" s="10">
        <v>4114.32</v>
      </c>
      <c r="J41" s="16">
        <v>3678</v>
      </c>
      <c r="K41" s="16"/>
      <c r="L41" s="16"/>
      <c r="M41" s="16"/>
      <c r="N41" s="16"/>
      <c r="O41" s="16"/>
      <c r="P41" s="16"/>
      <c r="Q41" s="36">
        <f t="shared" ref="Q41:Q57" si="10">SUM(C41:P41)</f>
        <v>17392.400000000001</v>
      </c>
      <c r="R41" s="18"/>
      <c r="S41" s="4"/>
      <c r="T41" s="4"/>
      <c r="U41" s="4"/>
      <c r="V41" s="4"/>
      <c r="W41" s="4"/>
    </row>
    <row r="42" spans="1:23" s="20" customFormat="1" ht="32.4" customHeight="1" x14ac:dyDescent="0.3">
      <c r="A42" s="1" t="s">
        <v>79</v>
      </c>
      <c r="B42" s="15" t="s">
        <v>80</v>
      </c>
      <c r="C42" s="16"/>
      <c r="D42" s="16"/>
      <c r="E42" s="16"/>
      <c r="F42" s="16"/>
      <c r="G42" s="16"/>
      <c r="H42" s="16">
        <v>0</v>
      </c>
      <c r="I42" s="16"/>
      <c r="J42" s="16"/>
      <c r="K42" s="16"/>
      <c r="L42" s="16"/>
      <c r="M42" s="16"/>
      <c r="N42" s="16"/>
      <c r="O42" s="16"/>
      <c r="P42" s="16"/>
      <c r="Q42" s="36">
        <f t="shared" si="10"/>
        <v>0</v>
      </c>
      <c r="R42" s="18"/>
      <c r="S42" s="18"/>
      <c r="T42" s="18"/>
      <c r="U42" s="18"/>
      <c r="V42" s="18"/>
      <c r="W42" s="18"/>
    </row>
    <row r="43" spans="1:23" ht="32.4" customHeight="1" x14ac:dyDescent="0.3">
      <c r="A43" s="1" t="s">
        <v>81</v>
      </c>
      <c r="B43" s="15" t="s">
        <v>82</v>
      </c>
      <c r="C43" s="16"/>
      <c r="D43" s="16"/>
      <c r="E43" s="16">
        <f>600+320</f>
        <v>920</v>
      </c>
      <c r="F43" s="16">
        <v>3940.65</v>
      </c>
      <c r="G43" s="16">
        <v>9523</v>
      </c>
      <c r="H43" s="16">
        <v>5810</v>
      </c>
      <c r="I43" s="16">
        <v>12005</v>
      </c>
      <c r="J43" s="16">
        <v>6843</v>
      </c>
      <c r="K43" s="16"/>
      <c r="L43" s="16"/>
      <c r="M43" s="16"/>
      <c r="N43" s="16"/>
      <c r="O43" s="16"/>
      <c r="P43" s="16"/>
      <c r="Q43" s="36">
        <f t="shared" si="10"/>
        <v>39041.65</v>
      </c>
      <c r="R43" s="18"/>
      <c r="S43" s="18"/>
      <c r="T43" s="4"/>
      <c r="U43" s="4"/>
      <c r="V43" s="4"/>
      <c r="W43" s="4"/>
    </row>
    <row r="44" spans="1:23" s="29" customFormat="1" ht="32.4" customHeight="1" outlineLevel="1" x14ac:dyDescent="0.3">
      <c r="A44" s="1" t="s">
        <v>83</v>
      </c>
      <c r="B44" s="15" t="s">
        <v>84</v>
      </c>
      <c r="C44" s="16"/>
      <c r="D44" s="16">
        <v>5500</v>
      </c>
      <c r="E44" s="16">
        <v>16522.849999999999</v>
      </c>
      <c r="F44" s="16">
        <v>4388.3999999999996</v>
      </c>
      <c r="G44" s="16">
        <v>4372.3599999999997</v>
      </c>
      <c r="H44" s="16">
        <v>4350</v>
      </c>
      <c r="I44" s="16">
        <v>4350</v>
      </c>
      <c r="J44" s="16">
        <v>4350</v>
      </c>
      <c r="K44" s="16"/>
      <c r="L44" s="16"/>
      <c r="M44" s="16"/>
      <c r="N44" s="16"/>
      <c r="O44" s="16"/>
      <c r="P44" s="16"/>
      <c r="Q44" s="36">
        <f t="shared" si="10"/>
        <v>43833.61</v>
      </c>
      <c r="R44" s="18"/>
      <c r="S44" s="28"/>
      <c r="T44" s="28"/>
      <c r="U44" s="28"/>
      <c r="V44" s="28"/>
      <c r="W44" s="28"/>
    </row>
    <row r="45" spans="1:23" s="20" customFormat="1" ht="32.4" customHeight="1" x14ac:dyDescent="0.3">
      <c r="A45" s="1" t="s">
        <v>85</v>
      </c>
      <c r="B45" s="15" t="s">
        <v>86</v>
      </c>
      <c r="C45" s="16">
        <v>3287.42</v>
      </c>
      <c r="D45" s="16">
        <v>3702.05</v>
      </c>
      <c r="E45" s="16">
        <v>6573.5</v>
      </c>
      <c r="F45" s="16">
        <v>6573.5</v>
      </c>
      <c r="G45" s="16">
        <v>8311.64</v>
      </c>
      <c r="H45" s="16">
        <v>8747.44</v>
      </c>
      <c r="I45" s="16">
        <f>4040.06+475.35+5248.1</f>
        <v>9763.51</v>
      </c>
      <c r="J45" s="16">
        <f>3123.12+5673.21</f>
        <v>8796.33</v>
      </c>
      <c r="K45" s="16"/>
      <c r="L45" s="16"/>
      <c r="M45" s="16"/>
      <c r="N45" s="16"/>
      <c r="O45" s="16"/>
      <c r="P45" s="16"/>
      <c r="Q45" s="36">
        <f t="shared" si="10"/>
        <v>55755.390000000007</v>
      </c>
      <c r="R45" s="18"/>
      <c r="S45" s="18"/>
      <c r="T45" s="18"/>
      <c r="U45" s="18"/>
      <c r="V45" s="18"/>
      <c r="W45" s="18"/>
    </row>
    <row r="46" spans="1:23" s="29" customFormat="1" ht="32.4" customHeight="1" outlineLevel="1" x14ac:dyDescent="0.3">
      <c r="A46" s="1" t="s">
        <v>87</v>
      </c>
      <c r="B46" s="15" t="s">
        <v>88</v>
      </c>
      <c r="C46" s="16"/>
      <c r="D46" s="16"/>
      <c r="E46" s="16"/>
      <c r="F46" s="16"/>
      <c r="G46" s="16">
        <v>6818.18</v>
      </c>
      <c r="H46" s="16">
        <v>11809.52</v>
      </c>
      <c r="I46" s="16">
        <v>0</v>
      </c>
      <c r="J46" s="16">
        <v>0</v>
      </c>
      <c r="K46" s="16"/>
      <c r="L46" s="16"/>
      <c r="M46" s="16"/>
      <c r="N46" s="16"/>
      <c r="O46" s="16"/>
      <c r="P46" s="16"/>
      <c r="Q46" s="36">
        <f t="shared" si="10"/>
        <v>18627.7</v>
      </c>
      <c r="R46" s="18"/>
      <c r="S46" s="28"/>
      <c r="T46" s="28"/>
      <c r="U46" s="28"/>
      <c r="V46" s="28"/>
      <c r="W46" s="28"/>
    </row>
    <row r="47" spans="1:23" s="29" customFormat="1" ht="32.4" customHeight="1" outlineLevel="1" x14ac:dyDescent="0.3">
      <c r="A47" s="1" t="s">
        <v>89</v>
      </c>
      <c r="B47" s="15" t="s">
        <v>90</v>
      </c>
      <c r="C47" s="16"/>
      <c r="D47" s="16"/>
      <c r="E47" s="16"/>
      <c r="F47" s="16"/>
      <c r="G47" s="16">
        <v>4931.8100000000004</v>
      </c>
      <c r="H47" s="16">
        <f>6666+7333.33</f>
        <v>13999.33</v>
      </c>
      <c r="I47" s="16">
        <v>14000</v>
      </c>
      <c r="J47" s="16">
        <v>14073.16</v>
      </c>
      <c r="K47" s="16"/>
      <c r="L47" s="16"/>
      <c r="M47" s="16"/>
      <c r="N47" s="16"/>
      <c r="O47" s="16"/>
      <c r="P47" s="16"/>
      <c r="Q47" s="36">
        <f t="shared" si="10"/>
        <v>47004.3</v>
      </c>
      <c r="R47" s="18"/>
      <c r="S47" s="28"/>
      <c r="T47" s="28"/>
      <c r="U47" s="28"/>
      <c r="V47" s="28"/>
      <c r="W47" s="28"/>
    </row>
    <row r="48" spans="1:23" s="29" customFormat="1" ht="32.4" customHeight="1" outlineLevel="1" x14ac:dyDescent="0.3">
      <c r="A48" s="1" t="s">
        <v>91</v>
      </c>
      <c r="B48" s="15" t="s">
        <v>92</v>
      </c>
      <c r="C48" s="16"/>
      <c r="D48" s="16"/>
      <c r="E48" s="16"/>
      <c r="F48" s="16"/>
      <c r="G48" s="16">
        <v>5196.8999999999996</v>
      </c>
      <c r="H48" s="16">
        <v>14752.5</v>
      </c>
      <c r="I48" s="16">
        <v>14752.5</v>
      </c>
      <c r="J48" s="16">
        <v>14405.95</v>
      </c>
      <c r="K48" s="16"/>
      <c r="L48" s="16"/>
      <c r="M48" s="16"/>
      <c r="N48" s="16"/>
      <c r="O48" s="16"/>
      <c r="P48" s="16"/>
      <c r="Q48" s="36">
        <f t="shared" si="10"/>
        <v>49107.850000000006</v>
      </c>
      <c r="R48" s="18"/>
      <c r="S48" s="28"/>
      <c r="T48" s="28"/>
      <c r="U48" s="28"/>
      <c r="V48" s="28"/>
      <c r="W48" s="28"/>
    </row>
    <row r="49" spans="1:23" s="29" customFormat="1" ht="32.4" customHeight="1" outlineLevel="1" x14ac:dyDescent="0.3">
      <c r="A49" s="1" t="s">
        <v>93</v>
      </c>
      <c r="B49" s="15" t="s">
        <v>94</v>
      </c>
      <c r="C49" s="16"/>
      <c r="D49" s="16"/>
      <c r="E49" s="16"/>
      <c r="F49" s="16"/>
      <c r="G49" s="16"/>
      <c r="H49" s="16">
        <v>0</v>
      </c>
      <c r="I49" s="16">
        <v>16000</v>
      </c>
      <c r="J49" s="16">
        <v>15960.39</v>
      </c>
      <c r="K49" s="16"/>
      <c r="L49" s="16"/>
      <c r="M49" s="16"/>
      <c r="N49" s="16"/>
      <c r="O49" s="16"/>
      <c r="P49" s="16"/>
      <c r="Q49" s="36">
        <f t="shared" si="10"/>
        <v>31960.39</v>
      </c>
      <c r="R49" s="18"/>
      <c r="S49" s="28"/>
      <c r="T49" s="28"/>
      <c r="U49" s="28"/>
      <c r="V49" s="28"/>
      <c r="W49" s="28"/>
    </row>
    <row r="50" spans="1:23" s="29" customFormat="1" ht="32.4" customHeight="1" outlineLevel="1" x14ac:dyDescent="0.3">
      <c r="A50" s="1" t="s">
        <v>95</v>
      </c>
      <c r="B50" s="37" t="s">
        <v>96</v>
      </c>
      <c r="C50" s="16"/>
      <c r="D50" s="16"/>
      <c r="E50" s="16"/>
      <c r="F50" s="16"/>
      <c r="G50" s="16"/>
      <c r="H50" s="16">
        <v>589.35</v>
      </c>
      <c r="I50" s="16">
        <v>1180</v>
      </c>
      <c r="J50" s="16">
        <v>16000</v>
      </c>
      <c r="K50" s="16"/>
      <c r="L50" s="16"/>
      <c r="M50" s="16"/>
      <c r="N50" s="16"/>
      <c r="O50" s="16"/>
      <c r="P50" s="16"/>
      <c r="Q50" s="36">
        <f t="shared" si="10"/>
        <v>17769.349999999999</v>
      </c>
      <c r="R50" s="18"/>
      <c r="S50" s="28"/>
      <c r="T50" s="28"/>
      <c r="U50" s="28"/>
      <c r="V50" s="28"/>
      <c r="W50" s="28"/>
    </row>
    <row r="51" spans="1:23" s="29" customFormat="1" ht="32.4" customHeight="1" outlineLevel="1" x14ac:dyDescent="0.3">
      <c r="A51" s="1" t="s">
        <v>97</v>
      </c>
      <c r="B51" s="37" t="s">
        <v>98</v>
      </c>
      <c r="C51" s="16"/>
      <c r="D51" s="16"/>
      <c r="E51" s="16"/>
      <c r="F51" s="16"/>
      <c r="G51" s="16"/>
      <c r="H51" s="16"/>
      <c r="I51" s="16"/>
      <c r="J51" s="16">
        <v>3920.8</v>
      </c>
      <c r="K51" s="16"/>
      <c r="L51" s="16"/>
      <c r="M51" s="16"/>
      <c r="N51" s="16"/>
      <c r="O51" s="16"/>
      <c r="P51" s="16"/>
      <c r="Q51" s="36">
        <f t="shared" si="10"/>
        <v>3920.8</v>
      </c>
      <c r="R51" s="18"/>
      <c r="S51" s="28"/>
      <c r="T51" s="28"/>
      <c r="U51" s="28"/>
      <c r="V51" s="28"/>
      <c r="W51" s="28"/>
    </row>
    <row r="52" spans="1:23" s="29" customFormat="1" ht="32.4" customHeight="1" outlineLevel="1" x14ac:dyDescent="0.3">
      <c r="A52" s="1" t="s">
        <v>99</v>
      </c>
      <c r="B52" s="37" t="s">
        <v>100</v>
      </c>
      <c r="C52" s="16"/>
      <c r="D52" s="16"/>
      <c r="E52" s="16"/>
      <c r="F52" s="16"/>
      <c r="G52" s="16"/>
      <c r="H52" s="16"/>
      <c r="I52" s="16">
        <v>2619.67</v>
      </c>
      <c r="J52" s="16">
        <v>13180.7</v>
      </c>
      <c r="K52" s="16"/>
      <c r="L52" s="16"/>
      <c r="M52" s="16"/>
      <c r="N52" s="16"/>
      <c r="O52" s="16"/>
      <c r="P52" s="16"/>
      <c r="Q52" s="36">
        <f t="shared" si="10"/>
        <v>15800.37</v>
      </c>
      <c r="R52" s="18"/>
      <c r="S52" s="28"/>
      <c r="T52" s="28"/>
      <c r="U52" s="28"/>
      <c r="V52" s="28"/>
      <c r="W52" s="28"/>
    </row>
    <row r="53" spans="1:23" s="29" customFormat="1" ht="32.4" customHeight="1" outlineLevel="1" x14ac:dyDescent="0.3">
      <c r="A53" s="1" t="s">
        <v>101</v>
      </c>
      <c r="B53" s="37" t="s">
        <v>102</v>
      </c>
      <c r="C53" s="16"/>
      <c r="D53" s="16"/>
      <c r="E53" s="16"/>
      <c r="F53" s="16"/>
      <c r="G53" s="16"/>
      <c r="H53" s="16"/>
      <c r="I53" s="16">
        <v>6124</v>
      </c>
      <c r="J53" s="16">
        <v>12316.84</v>
      </c>
      <c r="K53" s="16"/>
      <c r="L53" s="16"/>
      <c r="M53" s="16"/>
      <c r="N53" s="16"/>
      <c r="O53" s="16"/>
      <c r="P53" s="16"/>
      <c r="Q53" s="36">
        <f t="shared" si="10"/>
        <v>18440.84</v>
      </c>
      <c r="R53" s="18"/>
      <c r="S53" s="28"/>
      <c r="T53" s="28"/>
      <c r="U53" s="28"/>
      <c r="V53" s="28"/>
      <c r="W53" s="28"/>
    </row>
    <row r="54" spans="1:23" s="29" customFormat="1" ht="32.4" customHeight="1" outlineLevel="1" x14ac:dyDescent="0.3">
      <c r="A54" s="1" t="s">
        <v>103</v>
      </c>
      <c r="B54" s="15" t="s">
        <v>104</v>
      </c>
      <c r="C54" s="16"/>
      <c r="D54" s="16"/>
      <c r="E54" s="16"/>
      <c r="F54" s="16"/>
      <c r="G54" s="16"/>
      <c r="H54" s="16"/>
      <c r="I54" s="16">
        <v>25000</v>
      </c>
      <c r="J54" s="16">
        <v>24002.48</v>
      </c>
      <c r="K54" s="16"/>
      <c r="L54" s="16"/>
      <c r="M54" s="16"/>
      <c r="N54" s="16"/>
      <c r="O54" s="16"/>
      <c r="P54" s="16"/>
      <c r="Q54" s="36">
        <f t="shared" si="10"/>
        <v>49002.479999999996</v>
      </c>
      <c r="R54" s="18"/>
      <c r="S54" s="28"/>
      <c r="T54" s="28"/>
      <c r="U54" s="28"/>
      <c r="V54" s="28"/>
      <c r="W54" s="28"/>
    </row>
    <row r="55" spans="1:23" s="29" customFormat="1" ht="32.4" customHeight="1" outlineLevel="1" x14ac:dyDescent="0.3">
      <c r="A55" s="1" t="s">
        <v>105</v>
      </c>
      <c r="B55" s="37" t="s">
        <v>106</v>
      </c>
      <c r="C55" s="16"/>
      <c r="D55" s="16"/>
      <c r="E55" s="16"/>
      <c r="F55" s="16"/>
      <c r="G55" s="16"/>
      <c r="H55" s="16"/>
      <c r="I55" s="16">
        <v>1667.33</v>
      </c>
      <c r="J55" s="16">
        <v>35346.53</v>
      </c>
      <c r="K55" s="16"/>
      <c r="L55" s="16"/>
      <c r="M55" s="16"/>
      <c r="N55" s="16"/>
      <c r="O55" s="16"/>
      <c r="P55" s="16"/>
      <c r="Q55" s="36">
        <f t="shared" si="10"/>
        <v>37013.86</v>
      </c>
      <c r="R55" s="18"/>
      <c r="S55" s="28"/>
      <c r="T55" s="28"/>
      <c r="U55" s="28"/>
      <c r="V55" s="28"/>
      <c r="W55" s="28"/>
    </row>
    <row r="56" spans="1:23" s="29" customFormat="1" ht="32.4" customHeight="1" outlineLevel="1" x14ac:dyDescent="0.3">
      <c r="A56" s="1" t="s">
        <v>107</v>
      </c>
      <c r="B56" s="37" t="s">
        <v>108</v>
      </c>
      <c r="C56" s="16"/>
      <c r="D56" s="16"/>
      <c r="E56" s="16"/>
      <c r="F56" s="16"/>
      <c r="G56" s="16"/>
      <c r="H56" s="16"/>
      <c r="I56" s="16"/>
      <c r="J56" s="32">
        <v>2772.28</v>
      </c>
      <c r="K56" s="16"/>
      <c r="L56" s="16"/>
      <c r="M56" s="16"/>
      <c r="N56" s="16"/>
      <c r="O56" s="16"/>
      <c r="P56" s="16"/>
      <c r="Q56" s="36">
        <f t="shared" si="10"/>
        <v>2772.28</v>
      </c>
      <c r="R56" s="18"/>
      <c r="S56" s="28" t="s">
        <v>42</v>
      </c>
      <c r="T56" s="28"/>
      <c r="U56" s="28"/>
      <c r="V56" s="28"/>
      <c r="W56" s="28"/>
    </row>
    <row r="57" spans="1:23" s="29" customFormat="1" ht="32.4" customHeight="1" outlineLevel="1" x14ac:dyDescent="0.3">
      <c r="A57" s="1" t="s">
        <v>109</v>
      </c>
      <c r="B57" s="15" t="s">
        <v>110</v>
      </c>
      <c r="C57" s="16"/>
      <c r="D57" s="16"/>
      <c r="E57" s="16"/>
      <c r="F57" s="16"/>
      <c r="G57" s="16"/>
      <c r="H57" s="16"/>
      <c r="I57" s="16"/>
      <c r="J57" s="32">
        <v>13000</v>
      </c>
      <c r="K57" s="16"/>
      <c r="L57" s="16"/>
      <c r="M57" s="16"/>
      <c r="N57" s="16"/>
      <c r="O57" s="16"/>
      <c r="P57" s="16"/>
      <c r="Q57" s="36">
        <f t="shared" si="10"/>
        <v>13000</v>
      </c>
      <c r="R57" s="18"/>
      <c r="S57" s="28" t="s">
        <v>42</v>
      </c>
      <c r="T57" s="28"/>
      <c r="U57" s="28"/>
      <c r="V57" s="28"/>
      <c r="W57" s="28"/>
    </row>
    <row r="58" spans="1:23" ht="32.4" customHeight="1" x14ac:dyDescent="0.3">
      <c r="A58" s="1" t="s">
        <v>111</v>
      </c>
      <c r="B58" s="12" t="s">
        <v>112</v>
      </c>
      <c r="C58" s="13">
        <f>SUM(C59:C61)</f>
        <v>0</v>
      </c>
      <c r="D58" s="13">
        <f t="shared" ref="D58:Q58" si="11">SUM(D59:D61)</f>
        <v>0</v>
      </c>
      <c r="E58" s="13">
        <f t="shared" si="11"/>
        <v>10153.549999999999</v>
      </c>
      <c r="F58" s="13">
        <f t="shared" si="11"/>
        <v>7183.94</v>
      </c>
      <c r="G58" s="13">
        <f t="shared" si="11"/>
        <v>23881.62</v>
      </c>
      <c r="H58" s="13">
        <f t="shared" si="11"/>
        <v>33641.89</v>
      </c>
      <c r="I58" s="13">
        <f t="shared" si="11"/>
        <v>47500</v>
      </c>
      <c r="J58" s="13">
        <f t="shared" si="11"/>
        <v>67261.710000000006</v>
      </c>
      <c r="K58" s="13">
        <f t="shared" si="11"/>
        <v>0</v>
      </c>
      <c r="L58" s="13">
        <f t="shared" si="11"/>
        <v>0</v>
      </c>
      <c r="M58" s="13">
        <f t="shared" si="11"/>
        <v>0</v>
      </c>
      <c r="N58" s="13">
        <f t="shared" si="11"/>
        <v>0</v>
      </c>
      <c r="O58" s="13">
        <f t="shared" si="11"/>
        <v>0</v>
      </c>
      <c r="P58" s="13">
        <f t="shared" si="11"/>
        <v>0</v>
      </c>
      <c r="Q58" s="13">
        <f t="shared" si="11"/>
        <v>189622.71</v>
      </c>
      <c r="R58" s="18"/>
      <c r="S58" s="4"/>
      <c r="T58" s="4"/>
      <c r="U58" s="4"/>
      <c r="V58" s="4"/>
      <c r="W58" s="4"/>
    </row>
    <row r="59" spans="1:23" s="27" customFormat="1" ht="32.4" customHeight="1" x14ac:dyDescent="0.3">
      <c r="A59" s="1" t="s">
        <v>113</v>
      </c>
      <c r="B59" s="15" t="s">
        <v>114</v>
      </c>
      <c r="C59" s="16"/>
      <c r="D59" s="16"/>
      <c r="E59" s="16">
        <v>2153.5500000000002</v>
      </c>
      <c r="F59" s="16">
        <v>300</v>
      </c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3">
        <f t="shared" ref="Q59:Q60" si="12">SUM(C59:P59)</f>
        <v>2453.5500000000002</v>
      </c>
      <c r="R59" s="18"/>
      <c r="S59" s="26"/>
      <c r="T59" s="26"/>
      <c r="U59" s="26"/>
      <c r="V59" s="26"/>
      <c r="W59" s="26"/>
    </row>
    <row r="60" spans="1:23" s="27" customFormat="1" ht="42" customHeight="1" x14ac:dyDescent="0.3">
      <c r="A60" s="1" t="s">
        <v>115</v>
      </c>
      <c r="B60" s="15" t="s">
        <v>116</v>
      </c>
      <c r="C60" s="16"/>
      <c r="D60" s="16"/>
      <c r="E60" s="16">
        <v>8000</v>
      </c>
      <c r="F60" s="16">
        <v>6883.94</v>
      </c>
      <c r="G60" s="16">
        <f>23881.62</f>
        <v>23881.62</v>
      </c>
      <c r="H60" s="16">
        <f>18641.89+15000</f>
        <v>33641.89</v>
      </c>
      <c r="I60" s="16">
        <f>15000+32500</f>
        <v>47500</v>
      </c>
      <c r="J60" s="16">
        <v>67261.710000000006</v>
      </c>
      <c r="K60" s="16"/>
      <c r="L60" s="16"/>
      <c r="M60" s="16"/>
      <c r="N60" s="16"/>
      <c r="O60" s="16"/>
      <c r="P60" s="16"/>
      <c r="Q60" s="13">
        <f t="shared" si="12"/>
        <v>187169.16</v>
      </c>
      <c r="R60" s="18"/>
      <c r="S60" s="26"/>
      <c r="T60" s="26"/>
      <c r="U60" s="26"/>
      <c r="V60" s="26"/>
      <c r="W60" s="26"/>
    </row>
    <row r="61" spans="1:23" ht="32.4" customHeight="1" x14ac:dyDescent="0.3">
      <c r="A61" s="1" t="s">
        <v>117</v>
      </c>
      <c r="B61" s="15" t="s">
        <v>118</v>
      </c>
      <c r="C61" s="16"/>
      <c r="D61" s="16"/>
      <c r="E61" s="16"/>
      <c r="F61" s="16"/>
      <c r="G61" s="16"/>
      <c r="H61" s="16">
        <v>0</v>
      </c>
      <c r="I61" s="16"/>
      <c r="J61" s="16"/>
      <c r="K61" s="16"/>
      <c r="L61" s="16"/>
      <c r="M61" s="16"/>
      <c r="N61" s="16"/>
      <c r="O61" s="16"/>
      <c r="P61" s="16"/>
      <c r="Q61" s="13">
        <f>SUM(C61:P61)</f>
        <v>0</v>
      </c>
      <c r="R61" s="18"/>
      <c r="S61" s="4"/>
      <c r="T61" s="4"/>
      <c r="U61" s="4"/>
      <c r="V61" s="4"/>
      <c r="W61" s="4"/>
    </row>
    <row r="62" spans="1:23" s="20" customFormat="1" ht="32.4" customHeight="1" x14ac:dyDescent="0.3">
      <c r="A62" s="1" t="s">
        <v>119</v>
      </c>
      <c r="B62" s="12" t="s">
        <v>120</v>
      </c>
      <c r="C62" s="13">
        <f>SUM(C63:C68)</f>
        <v>4590</v>
      </c>
      <c r="D62" s="13">
        <f t="shared" ref="D62:Q62" si="13">SUM(D63:D68)</f>
        <v>26651.78</v>
      </c>
      <c r="E62" s="13">
        <f t="shared" si="13"/>
        <v>32831.039999999994</v>
      </c>
      <c r="F62" s="13">
        <f t="shared" si="13"/>
        <v>25144.91</v>
      </c>
      <c r="G62" s="13">
        <f t="shared" si="13"/>
        <v>13048.5</v>
      </c>
      <c r="H62" s="13">
        <f t="shared" si="13"/>
        <v>14393.33</v>
      </c>
      <c r="I62" s="13">
        <f t="shared" si="13"/>
        <v>12384.33</v>
      </c>
      <c r="J62" s="13">
        <f t="shared" si="13"/>
        <v>14944.419999999998</v>
      </c>
      <c r="K62" s="13">
        <f t="shared" si="13"/>
        <v>0</v>
      </c>
      <c r="L62" s="13">
        <f t="shared" si="13"/>
        <v>0</v>
      </c>
      <c r="M62" s="13">
        <f t="shared" si="13"/>
        <v>0</v>
      </c>
      <c r="N62" s="13">
        <f t="shared" si="13"/>
        <v>0</v>
      </c>
      <c r="O62" s="13">
        <f t="shared" si="13"/>
        <v>0</v>
      </c>
      <c r="P62" s="13">
        <f t="shared" si="13"/>
        <v>0</v>
      </c>
      <c r="Q62" s="13">
        <f t="shared" si="13"/>
        <v>143988.31</v>
      </c>
      <c r="R62" s="18"/>
      <c r="S62" s="18"/>
      <c r="T62" s="18"/>
      <c r="U62" s="18"/>
      <c r="V62" s="18"/>
      <c r="W62" s="18"/>
    </row>
    <row r="63" spans="1:23" s="20" customFormat="1" ht="32.4" customHeight="1" x14ac:dyDescent="0.3">
      <c r="A63" s="1" t="s">
        <v>121</v>
      </c>
      <c r="B63" s="15" t="s">
        <v>122</v>
      </c>
      <c r="C63" s="16">
        <v>200</v>
      </c>
      <c r="D63" s="16">
        <v>7490.36</v>
      </c>
      <c r="E63" s="16">
        <v>6158.2499999999991</v>
      </c>
      <c r="F63" s="16">
        <v>4548.2299999999996</v>
      </c>
      <c r="G63" s="16">
        <v>5427.1</v>
      </c>
      <c r="H63" s="16">
        <v>8711.94</v>
      </c>
      <c r="I63" s="16">
        <v>7492.95</v>
      </c>
      <c r="J63" s="16">
        <v>6486.92</v>
      </c>
      <c r="K63" s="16"/>
      <c r="L63" s="16"/>
      <c r="M63" s="16"/>
      <c r="N63" s="16"/>
      <c r="O63" s="16"/>
      <c r="P63" s="16"/>
      <c r="Q63" s="13">
        <f>SUM(C63:P63)</f>
        <v>46515.749999999993</v>
      </c>
      <c r="R63" s="18"/>
      <c r="S63" s="18"/>
      <c r="T63" s="18"/>
      <c r="U63" s="18"/>
      <c r="V63" s="18"/>
      <c r="W63" s="18"/>
    </row>
    <row r="64" spans="1:23" ht="32.4" customHeight="1" x14ac:dyDescent="0.3">
      <c r="A64" s="1" t="s">
        <v>123</v>
      </c>
      <c r="B64" s="15" t="s">
        <v>124</v>
      </c>
      <c r="C64" s="16"/>
      <c r="D64" s="16"/>
      <c r="E64" s="16">
        <v>821.01</v>
      </c>
      <c r="F64" s="16">
        <v>1249.4100000000001</v>
      </c>
      <c r="G64" s="16">
        <v>6443</v>
      </c>
      <c r="H64" s="16">
        <v>5282.23</v>
      </c>
      <c r="I64" s="16">
        <v>4436</v>
      </c>
      <c r="J64" s="16">
        <v>4657.16</v>
      </c>
      <c r="K64" s="16"/>
      <c r="L64" s="16"/>
      <c r="M64" s="16"/>
      <c r="N64" s="16"/>
      <c r="O64" s="16"/>
      <c r="P64" s="16"/>
      <c r="Q64" s="13">
        <f t="shared" ref="Q64:Q68" si="14">SUM(C64:P64)</f>
        <v>22888.81</v>
      </c>
      <c r="R64" s="18"/>
      <c r="S64" s="4"/>
      <c r="T64" s="4"/>
      <c r="U64" s="4"/>
      <c r="V64" s="4"/>
      <c r="W64" s="4"/>
    </row>
    <row r="65" spans="1:27" s="20" customFormat="1" ht="32.4" customHeight="1" x14ac:dyDescent="0.3">
      <c r="A65" s="1" t="s">
        <v>125</v>
      </c>
      <c r="B65" s="15" t="s">
        <v>126</v>
      </c>
      <c r="C65" s="16"/>
      <c r="D65" s="16">
        <v>8872.2099999999991</v>
      </c>
      <c r="E65" s="16"/>
      <c r="F65" s="16"/>
      <c r="G65" s="16"/>
      <c r="H65" s="16">
        <v>0</v>
      </c>
      <c r="I65" s="16"/>
      <c r="J65" s="16"/>
      <c r="K65" s="16"/>
      <c r="L65" s="16"/>
      <c r="M65" s="16"/>
      <c r="N65" s="16"/>
      <c r="O65" s="16"/>
      <c r="P65" s="16"/>
      <c r="Q65" s="13">
        <f t="shared" si="14"/>
        <v>8872.2099999999991</v>
      </c>
      <c r="R65" s="18"/>
      <c r="S65" s="18"/>
      <c r="T65" s="18"/>
      <c r="U65" s="18"/>
      <c r="V65" s="18"/>
      <c r="W65" s="18"/>
      <c r="AA65" s="38">
        <f>(277414.69-I73)/2774140.69</f>
        <v>-0.64326760947369255</v>
      </c>
    </row>
    <row r="66" spans="1:27" s="20" customFormat="1" ht="32.4" customHeight="1" x14ac:dyDescent="0.3">
      <c r="A66" s="1" t="s">
        <v>127</v>
      </c>
      <c r="B66" s="15" t="s">
        <v>128</v>
      </c>
      <c r="C66" s="16"/>
      <c r="D66" s="16">
        <v>417</v>
      </c>
      <c r="E66" s="16">
        <v>7338.65</v>
      </c>
      <c r="F66" s="16">
        <v>1630.09</v>
      </c>
      <c r="G66" s="16">
        <v>812.9</v>
      </c>
      <c r="H66" s="16">
        <v>399.16</v>
      </c>
      <c r="I66" s="16">
        <v>455.38</v>
      </c>
      <c r="J66" s="16">
        <v>1343.38</v>
      </c>
      <c r="K66" s="16"/>
      <c r="L66" s="16"/>
      <c r="M66" s="16"/>
      <c r="N66" s="16"/>
      <c r="O66" s="16"/>
      <c r="P66" s="16"/>
      <c r="Q66" s="13">
        <f t="shared" si="14"/>
        <v>12396.559999999998</v>
      </c>
      <c r="R66" s="18"/>
      <c r="S66" s="18"/>
      <c r="T66" s="18"/>
      <c r="U66" s="18"/>
      <c r="V66" s="18"/>
      <c r="W66" s="18"/>
    </row>
    <row r="67" spans="1:27" s="20" customFormat="1" ht="32.4" customHeight="1" x14ac:dyDescent="0.3">
      <c r="A67" s="1" t="s">
        <v>129</v>
      </c>
      <c r="B67" s="15" t="s">
        <v>130</v>
      </c>
      <c r="C67" s="16">
        <v>4390</v>
      </c>
      <c r="D67" s="16">
        <v>9301.0299999999988</v>
      </c>
      <c r="E67" s="16">
        <v>18513.129999999997</v>
      </c>
      <c r="F67" s="16">
        <v>17717.18</v>
      </c>
      <c r="G67" s="16">
        <v>335.5</v>
      </c>
      <c r="H67" s="16">
        <v>0</v>
      </c>
      <c r="I67" s="16"/>
      <c r="J67" s="16"/>
      <c r="K67" s="16"/>
      <c r="L67" s="16"/>
      <c r="M67" s="16"/>
      <c r="N67" s="16"/>
      <c r="O67" s="16"/>
      <c r="P67" s="16"/>
      <c r="Q67" s="13">
        <f t="shared" si="14"/>
        <v>50256.84</v>
      </c>
      <c r="R67" s="18"/>
      <c r="S67" s="18"/>
      <c r="T67" s="18"/>
      <c r="U67" s="18"/>
      <c r="V67" s="18"/>
      <c r="W67" s="18"/>
    </row>
    <row r="68" spans="1:27" s="20" customFormat="1" ht="32.4" customHeight="1" x14ac:dyDescent="0.3">
      <c r="A68" s="1" t="s">
        <v>131</v>
      </c>
      <c r="B68" s="15" t="s">
        <v>132</v>
      </c>
      <c r="C68" s="16"/>
      <c r="D68" s="16">
        <v>571.17999999999995</v>
      </c>
      <c r="E68" s="16"/>
      <c r="F68" s="16"/>
      <c r="G68" s="16">
        <v>30</v>
      </c>
      <c r="H68" s="16"/>
      <c r="I68" s="16"/>
      <c r="J68" s="16">
        <v>2456.96</v>
      </c>
      <c r="K68" s="16"/>
      <c r="L68" s="16"/>
      <c r="M68" s="16"/>
      <c r="N68" s="16"/>
      <c r="O68" s="16"/>
      <c r="P68" s="16"/>
      <c r="Q68" s="13">
        <f t="shared" si="14"/>
        <v>3058.14</v>
      </c>
      <c r="R68" s="18"/>
      <c r="S68" s="18"/>
      <c r="T68" s="18"/>
      <c r="U68" s="18"/>
      <c r="V68" s="18"/>
      <c r="W68" s="18"/>
    </row>
    <row r="69" spans="1:27" s="20" customFormat="1" ht="32.4" customHeight="1" x14ac:dyDescent="0.3">
      <c r="A69" s="1" t="s">
        <v>133</v>
      </c>
      <c r="B69" s="12" t="s">
        <v>134</v>
      </c>
      <c r="C69" s="13">
        <f>SUM(C70:C72)</f>
        <v>0</v>
      </c>
      <c r="D69" s="13">
        <f t="shared" ref="D69:Q69" si="15">SUM(D70:D72)</f>
        <v>0</v>
      </c>
      <c r="E69" s="13">
        <f t="shared" si="15"/>
        <v>0</v>
      </c>
      <c r="F69" s="13">
        <f t="shared" si="15"/>
        <v>0</v>
      </c>
      <c r="G69" s="13">
        <f t="shared" si="15"/>
        <v>0</v>
      </c>
      <c r="H69" s="13">
        <f t="shared" si="15"/>
        <v>0</v>
      </c>
      <c r="I69" s="13">
        <f t="shared" si="15"/>
        <v>0</v>
      </c>
      <c r="J69" s="13">
        <f t="shared" si="15"/>
        <v>0</v>
      </c>
      <c r="K69" s="13">
        <f t="shared" si="15"/>
        <v>0</v>
      </c>
      <c r="L69" s="13">
        <f t="shared" si="15"/>
        <v>0</v>
      </c>
      <c r="M69" s="13">
        <f t="shared" si="15"/>
        <v>0</v>
      </c>
      <c r="N69" s="13">
        <f t="shared" si="15"/>
        <v>0</v>
      </c>
      <c r="O69" s="13">
        <f t="shared" si="15"/>
        <v>0</v>
      </c>
      <c r="P69" s="13">
        <f t="shared" si="15"/>
        <v>0</v>
      </c>
      <c r="Q69" s="13">
        <f t="shared" si="15"/>
        <v>0</v>
      </c>
      <c r="R69" s="18"/>
      <c r="S69" s="18"/>
      <c r="T69" s="18"/>
      <c r="U69" s="18"/>
      <c r="V69" s="18"/>
      <c r="W69" s="18"/>
    </row>
    <row r="70" spans="1:27" s="40" customFormat="1" ht="32.4" customHeight="1" x14ac:dyDescent="0.3">
      <c r="A70" s="1" t="s">
        <v>135</v>
      </c>
      <c r="B70" s="15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7">
        <f>SUM(C70:P70)</f>
        <v>0</v>
      </c>
      <c r="R70" s="18"/>
      <c r="S70" s="39"/>
      <c r="T70" s="39"/>
      <c r="U70" s="39"/>
      <c r="V70" s="39"/>
      <c r="W70" s="39"/>
    </row>
    <row r="71" spans="1:27" s="40" customFormat="1" ht="32.4" customHeight="1" x14ac:dyDescent="0.3">
      <c r="A71" s="1" t="s">
        <v>136</v>
      </c>
      <c r="B71" s="15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7">
        <f>SUM(C71:P71)</f>
        <v>0</v>
      </c>
      <c r="R71" s="18"/>
      <c r="S71" s="39"/>
      <c r="T71" s="39"/>
      <c r="U71" s="39"/>
      <c r="V71" s="39"/>
      <c r="W71" s="39"/>
    </row>
    <row r="72" spans="1:27" s="40" customFormat="1" ht="32.4" customHeight="1" x14ac:dyDescent="0.3">
      <c r="A72" s="1" t="s">
        <v>137</v>
      </c>
      <c r="B72" s="15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7">
        <f t="shared" ref="Q72" si="16">SUM(C72:P72)</f>
        <v>0</v>
      </c>
      <c r="R72" s="18"/>
      <c r="S72" s="39"/>
      <c r="T72" s="39"/>
      <c r="U72" s="39"/>
      <c r="V72" s="39"/>
      <c r="W72" s="39"/>
    </row>
    <row r="73" spans="1:27" ht="33.75" customHeight="1" x14ac:dyDescent="0.3">
      <c r="B73" s="41" t="s">
        <v>138</v>
      </c>
      <c r="C73" s="13">
        <f>SUM(C4:C72)/2</f>
        <v>27877.42</v>
      </c>
      <c r="D73" s="13">
        <f t="shared" ref="D73:P73" si="17">SUM(D4:D72)/2</f>
        <v>148819.47</v>
      </c>
      <c r="E73" s="13">
        <f t="shared" si="17"/>
        <v>446886.14999999997</v>
      </c>
      <c r="F73" s="13">
        <f t="shared" si="17"/>
        <v>616361.25999999989</v>
      </c>
      <c r="G73" s="13">
        <f t="shared" si="17"/>
        <v>1400636.4500000004</v>
      </c>
      <c r="H73" s="13">
        <f t="shared" si="17"/>
        <v>1507696.55</v>
      </c>
      <c r="I73" s="13">
        <f t="shared" si="17"/>
        <v>2061929.5399999998</v>
      </c>
      <c r="J73" s="13">
        <f t="shared" si="17"/>
        <v>2317892.7400000007</v>
      </c>
      <c r="K73" s="13">
        <f t="shared" si="17"/>
        <v>0</v>
      </c>
      <c r="L73" s="13">
        <f t="shared" si="17"/>
        <v>0</v>
      </c>
      <c r="M73" s="13">
        <f t="shared" si="17"/>
        <v>0</v>
      </c>
      <c r="N73" s="13">
        <f t="shared" si="17"/>
        <v>0</v>
      </c>
      <c r="O73" s="13">
        <f t="shared" si="17"/>
        <v>0</v>
      </c>
      <c r="P73" s="13">
        <f t="shared" si="17"/>
        <v>0</v>
      </c>
      <c r="Q73" s="13">
        <f>SUM(Q4:Q72)/2</f>
        <v>8528099.5800000001</v>
      </c>
      <c r="S73" s="4"/>
      <c r="T73" s="4"/>
      <c r="U73" s="4"/>
      <c r="V73" s="4"/>
      <c r="W73" s="4"/>
    </row>
    <row r="74" spans="1:27" ht="13.95" customHeight="1" x14ac:dyDescent="0.3">
      <c r="C74" s="42"/>
      <c r="E74" s="43"/>
      <c r="I74" s="43"/>
    </row>
    <row r="75" spans="1:27" x14ac:dyDescent="0.3">
      <c r="Q75" s="44" t="b">
        <f>SUM(C73:I73)=Q73</f>
        <v>0</v>
      </c>
    </row>
    <row r="76" spans="1:27" x14ac:dyDescent="0.3">
      <c r="J76" s="3">
        <f t="shared" ref="J76:P76" si="18">J73-J75</f>
        <v>2317892.7400000007</v>
      </c>
      <c r="K76" s="3">
        <f t="shared" si="18"/>
        <v>0</v>
      </c>
      <c r="L76" s="3">
        <f t="shared" si="18"/>
        <v>0</v>
      </c>
      <c r="M76" s="3">
        <f t="shared" si="18"/>
        <v>0</v>
      </c>
      <c r="N76" s="3">
        <f t="shared" si="18"/>
        <v>0</v>
      </c>
      <c r="O76" s="3">
        <f t="shared" si="18"/>
        <v>0</v>
      </c>
      <c r="P76" s="3">
        <f t="shared" si="18"/>
        <v>0</v>
      </c>
    </row>
    <row r="78" spans="1:27" x14ac:dyDescent="0.3">
      <c r="D78" s="45"/>
      <c r="E78" s="45"/>
      <c r="F78" s="45"/>
      <c r="G78" s="45"/>
    </row>
    <row r="80" spans="1:27" x14ac:dyDescent="0.3">
      <c r="R80" s="46"/>
    </row>
  </sheetData>
  <mergeCells count="1">
    <mergeCell ref="C2:Q2"/>
  </mergeCells>
  <printOptions horizontalCentered="1"/>
  <pageMargins left="0" right="0" top="0.59055118110236227" bottom="0.39370078740157483" header="0.31496062992125984" footer="0.31496062992125984"/>
  <pageSetup paperSize="9" scale="60" fitToHeight="0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CUSTO</vt:lpstr>
      <vt:lpstr>CUSTO!Area_de_impressao</vt:lpstr>
      <vt:lpstr>CUSTO!Titulos_de_impressao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Letícia Araújo</dc:creator>
  <cp:lastModifiedBy>Letícia Araújo</cp:lastModifiedBy>
  <dcterms:created xsi:type="dcterms:W3CDTF">2026-08-31T19:19:16Z</dcterms:created>
  <dcterms:modified xsi:type="dcterms:W3CDTF">2026-08-31T19:19:44Z</dcterms:modified>
</cp:coreProperties>
</file>